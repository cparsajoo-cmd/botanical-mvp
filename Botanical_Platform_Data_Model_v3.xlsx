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cf7f12b15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Model" sheetId="1" r:id="R59b227f715b649eb"/>
    <x:sheet xmlns:r="http://schemas.openxmlformats.org/officeDocument/2006/relationships" name="Plants" sheetId="2" r:id="Ra065f5f74ce64a81"/>
    <x:sheet xmlns:r="http://schemas.openxmlformats.org/officeDocument/2006/relationships" name="Product_Questions" sheetId="3" r:id="R3f4d1011f6194bd9"/>
    <x:sheet xmlns:r="http://schemas.openxmlformats.org/officeDocument/2006/relationships" name="Evidence_Records" sheetId="4" r:id="Rdb1560676e6a476f"/>
    <x:sheet xmlns:r="http://schemas.openxmlformats.org/officeDocument/2006/relationships" name="References" sheetId="5" r:id="R3f6b28b1ea7d4db2"/>
    <x:sheet xmlns:r="http://schemas.openxmlformats.org/officeDocument/2006/relationships" name="Compounds_Targets" sheetId="6" r:id="Ra12fed17bdb54247"/>
    <x:sheet xmlns:r="http://schemas.openxmlformats.org/officeDocument/2006/relationships" name="Human_Clinical_Studies" sheetId="7" r:id="R3a5750a2c17f4e59"/>
    <x:sheet xmlns:r="http://schemas.openxmlformats.org/officeDocument/2006/relationships" name="Preclinical_Evidence" sheetId="8" r:id="R0c32404574b04adc"/>
    <x:sheet xmlns:r="http://schemas.openxmlformats.org/officeDocument/2006/relationships" name="Safety_Interactions" sheetId="9" r:id="R500be6f4d70e499a"/>
    <x:sheet xmlns:r="http://schemas.openxmlformats.org/officeDocument/2006/relationships" name="Regulatory_Assessments" sheetId="10" r:id="Rc059d91699834a25"/>
    <x:sheet xmlns:r="http://schemas.openxmlformats.org/officeDocument/2006/relationships" name="Pharmacopoeia_QC" sheetId="11" r:id="R0ae44c09adb0491a"/>
    <x:sheet xmlns:r="http://schemas.openxmlformats.org/officeDocument/2006/relationships" name="Marketed_Products" sheetId="12" r:id="R7d8b6ae6fe4e4fe6"/>
    <x:sheet xmlns:r="http://schemas.openxmlformats.org/officeDocument/2006/relationships" name="Analytical_Methods" sheetId="13" r:id="R591c8479398a4941"/>
    <x:sheet xmlns:r="http://schemas.openxmlformats.org/officeDocument/2006/relationships" name="Decision_Rules" sheetId="14" r:id="R643bef0dd5f64e74"/>
    <x:sheet xmlns:r="http://schemas.openxmlformats.org/officeDocument/2006/relationships" name="Decision_Outputs" sheetId="15" r:id="R9297cb6e03c14fb0"/>
    <x:sheet xmlns:r="http://schemas.openxmlformats.org/officeDocument/2006/relationships" name="Controlled_Vocabularies" sheetId="16" r:id="R24bd0090a4c84256"/>
    <x:sheet xmlns:r="http://schemas.openxmlformats.org/officeDocument/2006/relationships" name="Dashboard" sheetId="17" r:id="R434a6d71bad8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98ee7184f45d3" /><Relationship Type="http://schemas.openxmlformats.org/officeDocument/2006/relationships/theme" Target="/xl/theme/theme1.xml" Id="Re7e762e0cc554889" /><Relationship Type="http://schemas.microsoft.com/office/2022/11/relationships/FeaturePropertyBag" Target="/xl/featurePropertyBag/featurePropertyBag.xml" Id="R136ed8f610724c51" /><Relationship Type="http://schemas.openxmlformats.org/officeDocument/2006/relationships/sharedStrings" Target="/xl/sharedStrings.xml" Id="R9ee45a369b8b4e54" /><Relationship Type="http://schemas.openxmlformats.org/officeDocument/2006/relationships/worksheet" Target="/xl/worksheets/sheet1.xml" Id="R59b227f715b649eb" /><Relationship Type="http://schemas.openxmlformats.org/officeDocument/2006/relationships/worksheet" Target="/xl/worksheets/sheet2.xml" Id="Ra065f5f74ce64a81" /><Relationship Type="http://schemas.openxmlformats.org/officeDocument/2006/relationships/worksheet" Target="/xl/worksheets/sheet3.xml" Id="R3f4d1011f6194bd9" /><Relationship Type="http://schemas.openxmlformats.org/officeDocument/2006/relationships/worksheet" Target="/xl/worksheets/sheet4.xml" Id="Rdb1560676e6a476f" /><Relationship Type="http://schemas.openxmlformats.org/officeDocument/2006/relationships/worksheet" Target="/xl/worksheets/sheet5.xml" Id="R3f6b28b1ea7d4db2" /><Relationship Type="http://schemas.openxmlformats.org/officeDocument/2006/relationships/worksheet" Target="/xl/worksheets/sheet6.xml" Id="Ra12fed17bdb54247" /><Relationship Type="http://schemas.openxmlformats.org/officeDocument/2006/relationships/worksheet" Target="/xl/worksheets/sheet7.xml" Id="R3a5750a2c17f4e59" /><Relationship Type="http://schemas.openxmlformats.org/officeDocument/2006/relationships/worksheet" Target="/xl/worksheets/sheet8.xml" Id="R0c32404574b04adc" /><Relationship Type="http://schemas.openxmlformats.org/officeDocument/2006/relationships/worksheet" Target="/xl/worksheets/sheet9.xml" Id="R500be6f4d70e499a" /><Relationship Type="http://schemas.openxmlformats.org/officeDocument/2006/relationships/worksheet" Target="/xl/worksheets/sheet10.xml" Id="Rc059d91699834a25" /><Relationship Type="http://schemas.openxmlformats.org/officeDocument/2006/relationships/worksheet" Target="/xl/worksheets/sheet11.xml" Id="R0ae44c09adb0491a" /><Relationship Type="http://schemas.openxmlformats.org/officeDocument/2006/relationships/worksheet" Target="/xl/worksheets/sheet12.xml" Id="R7d8b6ae6fe4e4fe6" /><Relationship Type="http://schemas.openxmlformats.org/officeDocument/2006/relationships/worksheet" Target="/xl/worksheets/sheet13.xml" Id="R591c8479398a4941" /><Relationship Type="http://schemas.openxmlformats.org/officeDocument/2006/relationships/worksheet" Target="/xl/worksheets/sheet14.xml" Id="R643bef0dd5f64e74" /><Relationship Type="http://schemas.openxmlformats.org/officeDocument/2006/relationships/worksheet" Target="/xl/worksheets/sheet15.xml" Id="R9297cb6e03c14fb0" /><Relationship Type="http://schemas.openxmlformats.org/officeDocument/2006/relationships/worksheet" Target="/xl/worksheets/sheet16.xml" Id="R24bd0090a4c84256" /><Relationship Type="http://schemas.openxmlformats.org/officeDocument/2006/relationships/worksheet" Target="/xl/worksheets/sheet17.xml" Id="R434a6d71bad848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ModelTable" displayName="README_ModelTable" ref="A1:E6" headerRowCount="1">
  <x:tableColumns count="5">
    <x:tableColumn id="1" name="Area"/>
    <x:tableColumn id="2" name="Purpose"/>
    <x:tableColumn id="3" name="Primary_Key"/>
    <x:tableColumn id="4" name="Connected_To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lantsTable" displayName="PlantsTable" ref="A1:Q4" headerRowCount="1">
  <x:tableColumns count="17">
    <x:tableColumn id="1" name="Plant_ID"/>
    <x:tableColumn id="2" name="Accepted_Scientific_Name"/>
    <x:tableColumn id="3" name="Synonyms"/>
    <x:tableColumn id="4" name="Common_Name_EN"/>
    <x:tableColumn id="5" name="Common_Name_FR"/>
    <x:tableColumn id="6" name="Common_Name_FA"/>
    <x:tableColumn id="7" name="Family"/>
    <x:tableColumn id="8" name="Genus"/>
    <x:tableColumn id="9" name="Species"/>
    <x:tableColumn id="10" name="Plant_Part"/>
    <x:tableColumn id="11" name="Botanical_Description"/>
    <x:tableColumn id="12" name="Geographic_Distribution"/>
    <x:tableColumn id="13" name="Traditional_Use_Summary"/>
    <x:tableColumn id="14" name="Quality_Risk"/>
    <x:tableColumn id="15" name="Created_At"/>
    <x:tableColumn id="16" name="Updated_At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duct_QuestionsTable" displayName="Product_QuestionsTable" ref="A1:R2" headerRowCount="1">
  <x:tableColumns count="18">
    <x:tableColumn id="1" name="Question_ID"/>
    <x:tableColumn id="2" name="Project_Name"/>
    <x:tableColumn id="3" name="Client_Type"/>
    <x:tableColumn id="4" name="Product_Type"/>
    <x:tableColumn id="5" name="Dosage_Form"/>
    <x:tableColumn id="6" name="Target_Indication"/>
    <x:tableColumn id="7" name="Target_Market"/>
    <x:tableColumn id="8" name="Population"/>
    <x:tableColumn id="9" name="Allowed_Forms"/>
    <x:tableColumn id="10" name="Excluded_Forms"/>
    <x:tableColumn id="11" name="Claim_Strength_Target"/>
    <x:tableColumn id="12" name="Regulatory_Pathway_Target"/>
    <x:tableColumn id="13" name="Commercial_Requirements"/>
    <x:tableColumn id="14" name="Additional_Constraints"/>
    <x:tableColumn id="15" name="Question_Text"/>
    <x:tableColumn id="16" name="Status"/>
    <x:tableColumn id="17" name="Created_At"/>
    <x:tableColumn id="18" name="Updated_A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_RecordsTable" displayName="Evidence_RecordsTable" ref="A1:AR4" headerRowCount="1">
  <x:tableColumns count="44">
    <x:tableColumn id="1" name="Evidence_ID"/>
    <x:tableColumn id="2" name="Question_ID"/>
    <x:tableColumn id="3" name="Plant_ID"/>
    <x:tableColumn id="4" name="Scientific_Name"/>
    <x:tableColumn id="5" name="Product_Type"/>
    <x:tableColumn id="6" name="Dosage_Form"/>
    <x:tableColumn id="7" name="Target_Indication"/>
    <x:tableColumn id="8" name="Target_Market"/>
    <x:tableColumn id="9" name="Plant_Part"/>
    <x:tableColumn id="10" name="Preparation"/>
    <x:tableColumn id="11" name="EMA_Status"/>
    <x:tableColumn id="12" name="WHO_Status"/>
    <x:tableColumn id="13" name="ESCOP_Status"/>
    <x:tableColumn id="14" name="Pharmacopoeia_Status"/>
    <x:tableColumn id="15" name="Clinical_Level"/>
    <x:tableColumn id="16" name="Clinical_RCT_Count"/>
    <x:tableColumn id="17" name="Meta_Level"/>
    <x:tableColumn id="18" name="Meta_Count"/>
    <x:tableColumn id="19" name="Human_PK_Evidence"/>
    <x:tableColumn id="20" name="InVitro_Level"/>
    <x:tableColumn id="21" name="Animal_Level"/>
    <x:tableColumn id="22" name="Dosage_Form_Specificity"/>
    <x:tableColumn id="23" name="Infusion_Evidence"/>
    <x:tableColumn id="24" name="Evidence_Directness"/>
    <x:tableColumn id="25" name="Safety_Level"/>
    <x:tableColumn id="26" name="Drug_Interaction_Level"/>
    <x:tableColumn id="27" name="Contraindication_Level"/>
    <x:tableColumn id="28" name="Pregnancy_Lactation_Risk"/>
    <x:tableColumn id="29" name="Children_Risk"/>
    <x:tableColumn id="30" name="Novel_Food_Status"/>
    <x:tableColumn id="31" name="Regulatory_Status"/>
    <x:tableColumn id="32" name="Quality_Control_Level"/>
    <x:tableColumn id="33" name="Analytical_Support_Level"/>
    <x:tableColumn id="34" name="Commercial_Level"/>
    <x:tableColumn id="35" name="Market_Familiarity"/>
    <x:tableColumn id="36" name="Taste_Acceptability"/>
    <x:tableColumn id="37" name="Supply_Risk"/>
    <x:tableColumn id="38" name="IP_Patent_Risk"/>
    <x:tableColumn id="39" name="Evidence_Gap"/>
    <x:tableColumn id="40" name="Evidence_Quality_Notes"/>
    <x:tableColumn id="41" name="Source_Traceability_Status"/>
    <x:tableColumn id="42" name="Curator"/>
    <x:tableColumn id="43" name="Review_Status"/>
    <x:tableColumn id="44" name="Last_Updated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sTable" displayName="ReferencesTable" ref="A1:V4" headerRowCount="1">
  <x:tableColumns count="22">
    <x:tableColumn id="1" name="Reference_ID"/>
    <x:tableColumn id="2" name="Evidence_ID"/>
    <x:tableColumn id="3" name="Plant_ID"/>
    <x:tableColumn id="4" name="Source_Type"/>
    <x:tableColumn id="5" name="Organization"/>
    <x:tableColumn id="6" name="Database"/>
    <x:tableColumn id="7" name="Title"/>
    <x:tableColumn id="8" name="Authors"/>
    <x:tableColumn id="9" name="Year"/>
    <x:tableColumn id="10" name="DOI"/>
    <x:tableColumn id="11" name="PMID"/>
    <x:tableColumn id="12" name="URL"/>
    <x:tableColumn id="13" name="Document_ID"/>
    <x:tableColumn id="14" name="Page_Range"/>
    <x:tableColumn id="15" name="Evidence_Type"/>
    <x:tableColumn id="16" name="Dosage_Form_Studied"/>
    <x:tableColumn id="17" name="Population"/>
    <x:tableColumn id="18" name="Outcome"/>
    <x:tableColumn id="19" name="Relevance_To_Question"/>
    <x:tableColumn id="20" name="Quality_Rating"/>
    <x:tableColumn id="21" name="Extraction_Status"/>
    <x:tableColumn id="22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ompounds_TargetsTable" displayName="Compounds_TargetsTable" ref="A1:K3" headerRowCount="1">
  <x:tableColumns count="11">
    <x:tableColumn id="1" name="Compound_ID"/>
    <x:tableColumn id="2" name="Plant_ID"/>
    <x:tableColumn id="3" name="Compound_Name"/>
    <x:tableColumn id="4" name="Compound_Class"/>
    <x:tableColumn id="5" name="Marker_Status"/>
    <x:tableColumn id="6" name="Known_Targets"/>
    <x:tableColumn id="7" name="Mechanistic_Relevance"/>
    <x:tableColumn id="8" name="Analytical_Method"/>
    <x:tableColumn id="9" name="Pharmacopoeia_Marker"/>
    <x:tableColumn id="10" name="Evidence_Level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uman_Clinical_StudiTable" displayName="Human_Clinical_StudiTable" ref="A1:T2" headerRowCount="1">
  <x:tableColumns count="20">
    <x:tableColumn id="1" name="Study_ID"/>
    <x:tableColumn id="2" name="Evidence_ID"/>
    <x:tableColumn id="3" name="Plant_ID"/>
    <x:tableColumn id="4" name="Study_Type"/>
    <x:tableColumn id="5" name="Design"/>
    <x:tableColumn id="6" name="Dosage_Form"/>
    <x:tableColumn id="7" name="Preparation"/>
    <x:tableColumn id="8" name="Dose"/>
    <x:tableColumn id="9" name="Population"/>
    <x:tableColumn id="10" name="Sample_Size"/>
    <x:tableColumn id="11" name="Comparator"/>
    <x:tableColumn id="12" name="Duration"/>
    <x:tableColumn id="13" name="Primary_Outcome"/>
    <x:tableColumn id="14" name="Result_Direction"/>
    <x:tableColumn id="15" name="Effect_Size"/>
    <x:tableColumn id="16" name="Safety_Findings"/>
    <x:tableColumn id="17" name="Risk_of_Bias"/>
    <x:tableColumn id="18" name="Directness"/>
    <x:tableColumn id="19" name="Citation_ID"/>
    <x:tableColumn id="2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reclinical_EvidenceTable" displayName="Preclinical_EvidenceTable" ref="A1:L2" headerRowCount="1">
  <x:tableColumns count="12">
    <x:tableColumn id="1" name="Preclinical_ID"/>
    <x:tableColumn id="2" name="Plant_ID"/>
    <x:tableColumn id="3" name="Study_Type"/>
    <x:tableColumn id="4" name="Model"/>
    <x:tableColumn id="5" name="Preparation"/>
    <x:tableColumn id="6" name="Dose"/>
    <x:tableColumn id="7" name="Endpoint"/>
    <x:tableColumn id="8" name="Result"/>
    <x:tableColumn id="9" name="Mechanistic_Target"/>
    <x:tableColumn id="10" name="Directness_To_Product"/>
    <x:tableColumn id="11" name="Citation_ID"/>
    <x:tableColumn id="12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afety_InteractionsTable" displayName="Safety_InteractionsTable" ref="A1:P3" headerRowCount="1">
  <x:tableColumns count="16">
    <x:tableColumn id="1" name="Safety_ID"/>
    <x:tableColumn id="2" name="Plant_ID"/>
    <x:tableColumn id="3" name="General_Safety"/>
    <x:tableColumn id="4" name="Adverse_Events"/>
    <x:tableColumn id="5" name="Contraindications"/>
    <x:tableColumn id="6" name="Drug_Interactions"/>
    <x:tableColumn id="7" name="Pregnancy"/>
    <x:tableColumn id="8" name="Lactation"/>
    <x:tableColumn id="9" name="Children"/>
    <x:tableColumn id="10" name="Driving_Machinery"/>
    <x:tableColumn id="11" name="Hepatic_Risk"/>
    <x:tableColumn id="12" name="Renal_Risk"/>
    <x:tableColumn id="13" name="Allergy_Risk"/>
    <x:tableColumn id="14" name="Safety_Level"/>
    <x:tableColumn id="15" name="Citation_ID"/>
    <x:tableColumn id="1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gulatory_AssessmenTable" displayName="Regulatory_AssessmenTable" ref="A1:P2" headerRowCount="1">
  <x:tableColumns count="16">
    <x:tableColumn id="1" name="Regulatory_ID"/>
    <x:tableColumn id="2" name="Plant_ID"/>
    <x:tableColumn id="3" name="Market"/>
    <x:tableColumn id="4" name="Regulatory_Body"/>
    <x:tableColumn id="5" name="Status"/>
    <x:tableColumn id="6" name="Allowed_Claims"/>
    <x:tableColumn id="7" name="Restricted_Claims"/>
    <x:tableColumn id="8" name="Dosage_Form_Allowed"/>
    <x:tableColumn id="9" name="Quality_Requirement"/>
    <x:tableColumn id="10" name="Label_Warnings"/>
    <x:tableColumn id="11" name="Novel_Food_Status"/>
    <x:tableColumn id="12" name="THMP_Status"/>
    <x:tableColumn id="13" name="Food_Supplement_Status"/>
    <x:tableColumn id="14" name="Cosmetic_Status"/>
    <x:tableColumn id="15" name="Citation_ID"/>
    <x:tableColumn id="16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harmacopoeia_QCTable" displayName="Pharmacopoeia_QCTable" ref="A1:L2" headerRowCount="1">
  <x:tableColumns count="12">
    <x:tableColumn id="1" name="Pharmacopoeia_ID"/>
    <x:tableColumn id="2" name="Plant_ID"/>
    <x:tableColumn id="3" name="Pharmacopoeia"/>
    <x:tableColumn id="4" name="Monograph_Name"/>
    <x:tableColumn id="5" name="Plant_Part"/>
    <x:tableColumn id="6" name="Identification_Method"/>
    <x:tableColumn id="7" name="Assay_Method"/>
    <x:tableColumn id="8" name="Marker"/>
    <x:tableColumn id="9" name="Limits"/>
    <x:tableColumn id="10" name="Status"/>
    <x:tableColumn id="11" name="Citation_ID"/>
    <x:tableColumn id="12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Marketed_ProductsTable" displayName="Marketed_ProductsTable" ref="A1:M2" headerRowCount="1">
  <x:tableColumns count="13">
    <x:tableColumn id="1" name="Market_Product_ID"/>
    <x:tableColumn id="2" name="Plant_ID"/>
    <x:tableColumn id="3" name="Product_Name"/>
    <x:tableColumn id="4" name="Company"/>
    <x:tableColumn id="5" name="Country"/>
    <x:tableColumn id="6" name="Product_Category"/>
    <x:tableColumn id="7" name="Dosage_Form"/>
    <x:tableColumn id="8" name="Claims"/>
    <x:tableColumn id="9" name="Composition"/>
    <x:tableColumn id="10" name="Price_Range"/>
    <x:tableColumn id="11" name="Launch_Status"/>
    <x:tableColumn id="12" name="URL"/>
    <x:tableColumn id="1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Analytical_MethodsTable" displayName="Analytical_MethodsTable" ref="A1:M2" headerRowCount="1">
  <x:tableColumns count="13">
    <x:tableColumn id="1" name="Analytical_ID"/>
    <x:tableColumn id="2" name="Plant_ID"/>
    <x:tableColumn id="3" name="Method"/>
    <x:tableColumn id="4" name="Instrument"/>
    <x:tableColumn id="5" name="Sample_Preparation"/>
    <x:tableColumn id="6" name="Marker_Compounds"/>
    <x:tableColumn id="7" name="Validation_Status"/>
    <x:tableColumn id="8" name="LOD_LOQ"/>
    <x:tableColumn id="9" name="Linearity"/>
    <x:tableColumn id="10" name="Precision"/>
    <x:tableColumn id="11" name="Accuracy"/>
    <x:tableColumn id="12" name="Reference_ID"/>
    <x:tableColumn id="1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Decision_RulesTable" displayName="Decision_RulesTable" ref="A1:H16" headerRowCount="1">
  <x:tableColumns count="8">
    <x:tableColumn id="1" name="Rule_ID"/>
    <x:tableColumn id="2" name="Domain"/>
    <x:tableColumn id="3" name="Condition_Field"/>
    <x:tableColumn id="4" name="Condition_Value"/>
    <x:tableColumn id="5" name="Score"/>
    <x:tableColumn id="6" name="Penalty"/>
    <x:tableColumn id="7" name="Rationale"/>
    <x:tableColumn id="8" name="Active"/>
  </x:tableColumns>
  <x:tableStyleInfo name="TableStyleMedium2" showRowStripes="1"/>
</x:table>
</file>

<file path=xl/tables/table15.xml><?xml version="1.0" encoding="utf-8"?>
<x:table xmlns:x="http://schemas.openxmlformats.org/spreadsheetml/2006/main" id="15" name="Decision_OutputsTable" displayName="Decision_OutputsTable" ref="A1:M2" headerRowCount="1">
  <x:tableColumns count="13">
    <x:tableColumn id="1" name="Output_ID"/>
    <x:tableColumn id="2" name="Question_ID"/>
    <x:tableColumn id="3" name="Evidence_ID"/>
    <x:tableColumn id="4" name="Plant_ID"/>
    <x:tableColumn id="5" name="Computed_Evidence_Score"/>
    <x:tableColumn id="6" name="Computed_Risk_Penalty"/>
    <x:tableColumn id="7" name="Final_Score"/>
    <x:tableColumn id="8" name="Decision_Class"/>
    <x:tableColumn id="9" name="Rank"/>
    <x:tableColumn id="10" name="Auto_Explanation"/>
    <x:tableColumn id="11" name="Reviewer_Override"/>
    <x:tableColumn id="12" name="Reviewer_Notes"/>
    <x:tableColumn id="13" name="Generated_At"/>
  </x:tableColumns>
  <x:tableStyleInfo name="TableStyleMedium2" showRowStripes="1"/>
</x:table>
</file>

<file path=xl/tables/table16.xml><?xml version="1.0" encoding="utf-8"?>
<x:table xmlns:x="http://schemas.openxmlformats.org/spreadsheetml/2006/main" id="16" name="Controlled_VocabularTable" displayName="Controlled_VocabularTable" ref="A1:C42" headerRowCount="1">
  <x:tableColumns count="3">
    <x:tableColumn id="1" name="List_Name"/>
    <x:tableColumn id="2" name="Allowed_Value"/>
    <x:tableColumn id="3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DashboardTable" displayName="DashboardTable" ref="A1:C5" headerRowCount="1">
  <x:tableColumns count="3">
    <x:tableColumn id="1" name="Metric"/>
    <x:tableColumn id="2" name="Value"/>
    <x:tableColumn id="3" name="Formula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263e22769945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bdfca059aa4e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7e5852aac343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a46648c3bd4b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ece435813e4f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8a3d99475c45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2f7bfe0d2344f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cd9ac9e162749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9ed0ea6be6f4a5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78933611db54b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247c20eb12c42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7666771be7046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1627948a412493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2b8bce7d8e14a6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51732e02dbe44e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36bf9b96e9249e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17a13cdeea34cdd" /></Relationships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36.130001068115234" hidden="0" customWidth="1"/>
    <x:col min="3" max="3" width="12.75" hidden="0" customWidth="1"/>
    <x:col min="4" max="4" width="32.5" hidden="0" customWidth="1"/>
    <x:col min="5" max="5" width="45.25" hidden="0" customWidth="1"/>
  </x:cols>
  <x:sheetData>
    <x:row r="1" ht="30" customHeight="1">
      <x:c r="A1" s="6" t="str">
        <x:v>Area</x:v>
      </x:c>
      <x:c r="B1" s="6" t="str">
        <x:v>Purpose</x:v>
      </x:c>
      <x:c r="C1" s="6" t="str">
        <x:v>Primary_Key</x:v>
      </x:c>
      <x:c r="D1" s="6" t="str">
        <x:v>Connected_To</x:v>
      </x:c>
      <x:c r="E1" s="6" t="str">
        <x:v>Notes</x:v>
      </x:c>
    </x:row>
    <x:row r="2">
      <x:c r="A2" s="14" t="str">
        <x:v>Plants</x:v>
      </x:c>
      <x:c r="B2" s="14" t="str">
        <x:v>Master botanical identity and taxonomy</x:v>
      </x:c>
      <x:c r="C2" s="14" t="str">
        <x:v>Plant_ID</x:v>
      </x:c>
      <x:c r="D2" s="14" t="str">
        <x:v>Plant Evidence_Records Compounds Safety</x:v>
      </x:c>
      <x:c r="E2" s="14" t="str">
        <x:v>One row per accepted botanical entity.</x:v>
      </x:c>
    </x:row>
    <x:row r="3">
      <x:c r="A3" s="14" t="str">
        <x:v>Product_Questions</x:v>
      </x:c>
      <x:c r="B3" s="14" t="str">
        <x:v>User/R&amp;D project definition</x:v>
      </x:c>
      <x:c r="C3" s="14" t="str">
        <x:v>Question_ID</x:v>
      </x:c>
      <x:c r="D3" s="14" t="str">
        <x:v>Evidence_Records Decision_Outputs</x:v>
      </x:c>
      <x:c r="E3" s="14" t="str">
        <x:v>One row per product development question.</x:v>
      </x:c>
    </x:row>
    <x:row r="4">
      <x:c r="A4" s="14" t="str">
        <x:v>Evidence_Records</x:v>
      </x:c>
      <x:c r="B4" s="14" t="str">
        <x:v>Core evidence rows used by the decision engine</x:v>
      </x:c>
      <x:c r="C4" s="14" t="str">
        <x:v>Evidence_ID</x:v>
      </x:c>
      <x:c r="D4" s="14" t="str">
        <x:v>Plants Product_Questions References</x:v>
      </x:c>
      <x:c r="E4" s="14" t="str">
        <x:v>One plant × one indication × one dosage form × one market.</x:v>
      </x:c>
    </x:row>
    <x:row r="5">
      <x:c r="A5" s="14" t="str">
        <x:v>References</x:v>
      </x:c>
      <x:c r="B5" s="14" t="str">
        <x:v>Source-level traceability</x:v>
      </x:c>
      <x:c r="C5" s="14" t="str">
        <x:v>Reference_ID</x:v>
      </x:c>
      <x:c r="D5" s="14" t="str">
        <x:v>Evidence_Records</x:v>
      </x:c>
      <x:c r="E5" s="14" t="str">
        <x:v>Each source can link to many evidence records.</x:v>
      </x:c>
    </x:row>
    <x:row r="6">
      <x:c r="A6" s="14" t="str">
        <x:v>Decision_Rules</x:v>
      </x:c>
      <x:c r="B6" s="14" t="str">
        <x:v>Configurable scoring rules</x:v>
      </x:c>
      <x:c r="C6" s="14" t="str">
        <x:v>Rule_ID</x:v>
      </x:c>
      <x:c r="D6" s="14" t="str">
        <x:v>Scoring_Weights</x:v>
      </x:c>
      <x:c r="E6" s="14" t="str">
        <x:v>Decision logic stored as data, not hardcoded.</x:v>
      </x:c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</x:sheetData>
  <x:pageMargins left="0.7" right="0.7" top="0.75" bottom="0.75" header="0.3" footer="0.3"/>
  <x:tableParts count="1">
    <x:tablePart xmlns:r="http://schemas.openxmlformats.org/officeDocument/2006/relationships" r:id="Re6263e22769945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6" t="str">
        <x:v>Plant_ID</x:v>
      </x:c>
      <x:c r="B1" s="6" t="str">
        <x:v>Accepted_Scientific_Name</x:v>
      </x:c>
      <x:c r="C1" s="6" t="str">
        <x:v>Synonyms</x:v>
      </x:c>
      <x:c r="D1" s="6" t="str">
        <x:v>Common_Name_EN</x:v>
      </x:c>
      <x:c r="E1" s="6" t="str">
        <x:v>Common_Name_FR</x:v>
      </x:c>
      <x:c r="F1" s="6" t="str">
        <x:v>Common_Name_FA</x:v>
      </x:c>
      <x:c r="G1" s="6" t="str">
        <x:v>Family</x:v>
      </x:c>
      <x:c r="H1" s="6" t="str">
        <x:v>Genus</x:v>
      </x:c>
      <x:c r="I1" s="6" t="str">
        <x:v>Species</x:v>
      </x:c>
      <x:c r="J1" s="6" t="str">
        <x:v>Plant_Part</x:v>
      </x:c>
      <x:c r="K1" s="6" t="str">
        <x:v>Botanical_Description</x:v>
      </x:c>
      <x:c r="L1" s="6" t="str">
        <x:v>Geographic_Distribution</x:v>
      </x:c>
      <x:c r="M1" s="6" t="str">
        <x:v>Traditional_Use_Summary</x:v>
      </x:c>
      <x:c r="N1" s="6" t="str">
        <x:v>Quality_Risk</x:v>
      </x:c>
      <x:c r="O1" s="6" t="str">
        <x:v>Created_At</x:v>
      </x:c>
      <x:c r="P1" s="6" t="str">
        <x:v>Updated_At</x:v>
      </x:c>
      <x:c r="Q1" s="6" t="str">
        <x:v>Notes</x:v>
      </x:c>
    </x:row>
    <x:row r="2">
      <x:c r="A2" s="14" t="str">
        <x:v>P001</x:v>
      </x:c>
      <x:c r="B2" s="14" t="str">
        <x:v>Melissa officinalis L.</x:v>
      </x:c>
      <x:c r="C2" s="14" t="str"/>
      <x:c r="D2" s="14" t="str">
        <x:v>Lemon balm</x:v>
      </x:c>
      <x:c r="E2" s="14" t="str">
        <x:v>Mélisse</x:v>
      </x:c>
      <x:c r="F2" s="14" t="str">
        <x:v>بادرنجبویه</x:v>
      </x:c>
      <x:c r="G2" s="14" t="str">
        <x:v>Lamiaceae</x:v>
      </x:c>
      <x:c r="H2" s="14" t="str">
        <x:v>Melissa</x:v>
      </x:c>
      <x:c r="I2" s="14" t="str">
        <x:v>officinalis</x:v>
      </x:c>
      <x:c r="J2" s="14" t="str">
        <x:v>Leaf</x:v>
      </x:c>
      <x:c r="K2" s="14" t="str">
        <x:v>Perennial aromatic herb; toothed leaves; lemon scent.</x:v>
      </x:c>
      <x:c r="L2" s="14" t="str">
        <x:v>Europe, Mediterranean, cultivated worldwide.</x:v>
      </x:c>
      <x:c r="M2" s="14" t="str">
        <x:v>Traditional use for mild stress, sleep support and digestive comfort.</x:v>
      </x:c>
      <x:c r="N2" s="14" t="str">
        <x:v>Medium</x:v>
      </x:c>
      <x:c r="O2" s="14" t="str">
        <x:v>2026-07-03</x:v>
      </x:c>
      <x:c r="P2" s="14" t="str">
        <x:v>2026-07-03</x:v>
      </x:c>
      <x:c r="Q2" s="14" t="str">
        <x:v>Starter record.</x:v>
      </x:c>
    </x:row>
    <x:row r="3">
      <x:c r="A3" s="14" t="str">
        <x:v>P002</x:v>
      </x:c>
      <x:c r="B3" s="14" t="str">
        <x:v>Valeriana officinalis L.</x:v>
      </x:c>
      <x:c r="C3" s="14" t="str"/>
      <x:c r="D3" s="14" t="str">
        <x:v>Valerian</x:v>
      </x:c>
      <x:c r="E3" s="14" t="str">
        <x:v>Valériane</x:v>
      </x:c>
      <x:c r="F3" s="14" t="str">
        <x:v>سنبل‌الطیب</x:v>
      </x:c>
      <x:c r="G3" s="14" t="str">
        <x:v>Caprifoliaceae</x:v>
      </x:c>
      <x:c r="H3" s="14" t="str">
        <x:v>Valeriana</x:v>
      </x:c>
      <x:c r="I3" s="14" t="str">
        <x:v>officinalis</x:v>
      </x:c>
      <x:c r="J3" s="14" t="str">
        <x:v>Root/Rhizome</x:v>
      </x:c>
      <x:c r="K3" s="14" t="str">
        <x:v>Perennial herb; roots/rhizomes used medicinally.</x:v>
      </x:c>
      <x:c r="L3" s="14" t="str">
        <x:v>Europe and temperate Asia; cultivated.</x:v>
      </x:c>
      <x:c r="M3" s="14" t="str">
        <x:v>Traditional use for nervous tension and sleep disorders.</x:v>
      </x:c>
      <x:c r="N3" s="14" t="str">
        <x:v>High</x:v>
      </x:c>
      <x:c r="O3" s="14" t="str">
        <x:v>2026-07-03</x:v>
      </x:c>
      <x:c r="P3" s="14" t="str">
        <x:v>2026-07-03</x:v>
      </x:c>
      <x:c r="Q3" s="14" t="str">
        <x:v>Evidence often extract-specific.</x:v>
      </x:c>
    </x:row>
    <x:row r="4">
      <x:c r="A4" s="14" t="str">
        <x:v>P003</x:v>
      </x:c>
      <x:c r="B4" s="14" t="str">
        <x:v>Passiflora incarnata L.</x:v>
      </x:c>
      <x:c r="C4" s="14" t="str"/>
      <x:c r="D4" s="14" t="str">
        <x:v>Passionflower</x:v>
      </x:c>
      <x:c r="E4" s="14" t="str">
        <x:v>Passiflore</x:v>
      </x:c>
      <x:c r="F4" s="14" t="str">
        <x:v>گل ساعتی</x:v>
      </x:c>
      <x:c r="G4" s="14" t="str">
        <x:v>Passifloraceae</x:v>
      </x:c>
      <x:c r="H4" s="14" t="str">
        <x:v>Passiflora</x:v>
      </x:c>
      <x:c r="I4" s="14" t="str">
        <x:v>incarnata</x:v>
      </x:c>
      <x:c r="J4" s="14" t="str">
        <x:v>Aerial parts</x:v>
      </x:c>
      <x:c r="K4" s="14" t="str">
        <x:v>Climbing perennial vine; aerial parts used.</x:v>
      </x:c>
      <x:c r="L4" s="14" t="str">
        <x:v>Americas; cultivated in Europe.</x:v>
      </x:c>
      <x:c r="M4" s="14" t="str">
        <x:v>Traditional use for mild stress and sleep support.</x:v>
      </x:c>
      <x:c r="N4" s="14" t="str">
        <x:v>Medium</x:v>
      </x:c>
      <x:c r="O4" s="14" t="str">
        <x:v>2026-07-03</x:v>
      </x:c>
      <x:c r="P4" s="14" t="str">
        <x:v>2026-07-03</x:v>
      </x:c>
      <x:c r="Q4" s="14" t="str">
        <x:v>Starter record.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</x:sheetData>
  <x:pageMargins left="0.7" right="0.7" top="0.75" bottom="0.75" header="0.3" footer="0.3"/>
  <x:tableParts count="1">
    <x:tablePart xmlns:r="http://schemas.openxmlformats.org/officeDocument/2006/relationships" r:id="R43bdfca059aa4e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6" t="str">
        <x:v>Question_ID</x:v>
      </x:c>
      <x:c r="B1" s="6" t="str">
        <x:v>Project_Name</x:v>
      </x:c>
      <x:c r="C1" s="6" t="str">
        <x:v>Client_Type</x:v>
      </x:c>
      <x:c r="D1" s="6" t="str">
        <x:v>Product_Type</x:v>
      </x:c>
      <x:c r="E1" s="6" t="str">
        <x:v>Dosage_Form</x:v>
      </x:c>
      <x:c r="F1" s="6" t="str">
        <x:v>Target_Indication</x:v>
      </x:c>
      <x:c r="G1" s="6" t="str">
        <x:v>Target_Market</x:v>
      </x:c>
      <x:c r="H1" s="6" t="str">
        <x:v>Population</x:v>
      </x:c>
      <x:c r="I1" s="6" t="str">
        <x:v>Allowed_Forms</x:v>
      </x:c>
      <x:c r="J1" s="6" t="str">
        <x:v>Excluded_Forms</x:v>
      </x:c>
      <x:c r="K1" s="6" t="str">
        <x:v>Claim_Strength_Target</x:v>
      </x:c>
      <x:c r="L1" s="6" t="str">
        <x:v>Regulatory_Pathway_Target</x:v>
      </x:c>
      <x:c r="M1" s="6" t="str">
        <x:v>Commercial_Requirements</x:v>
      </x:c>
      <x:c r="N1" s="6" t="str">
        <x:v>Additional_Constraints</x:v>
      </x:c>
      <x:c r="O1" s="6" t="str">
        <x:v>Question_Text</x:v>
      </x:c>
      <x:c r="P1" s="6" t="str">
        <x:v>Status</x:v>
      </x:c>
      <x:c r="Q1" s="6" t="str">
        <x:v>Created_At</x:v>
      </x:c>
      <x:c r="R1" s="6" t="str">
        <x:v>Updated_At</x:v>
      </x:c>
    </x:row>
    <x:row r="2">
      <x:c r="A2" s="14" t="str">
        <x:v>Q001</x:v>
      </x:c>
      <x:c r="B2" s="14" t="str">
        <x:v>Bedtime Herbal Infusion Demo</x:v>
      </x:c>
      <x:c r="C2" s="14" t="str">
        <x:v>Herbal tea manufacturer</x:v>
      </x:c>
      <x:c r="D2" s="14" t="str">
        <x:v>Herbal product</x:v>
      </x:c>
      <x:c r="E2" s="14" t="str">
        <x:v>Infusion</x:v>
      </x:c>
      <x:c r="F2" s="14" t="str">
        <x:v>Sleep and relaxation</x:v>
      </x:c>
      <x:c r="G2" s="14" t="str">
        <x:v>European Union</x:v>
      </x:c>
      <x:c r="H2" s="14" t="str">
        <x:v>Adults</x:v>
      </x:c>
      <x:c r="I2" s="14" t="str">
        <x:v>Dried herbal material; tea bags; loose tea</x:v>
      </x:c>
      <x:c r="J2" s="14" t="str">
        <x:v>Capsules; tablets; hydroalcoholic extracts; essential oils</x:v>
      </x:c>
      <x:c r="K2" s="14" t="str">
        <x:v>Traditional-use / wellness support</x:v>
      </x:c>
      <x:c r="L2" s="14" t="str">
        <x:v>THMP / food supplement assessment</x:v>
      </x:c>
      <x:c r="M2" s="14" t="str">
        <x:v>Caffeine-free; pleasant taste</x:v>
      </x:c>
      <x:c r="N2" s="14" t="str">
        <x:v>Evidence must be dosage-form specific</x:v>
      </x:c>
      <x:c r="O2" s="14" t="str">
        <x:v>Which medicinal plants are worth investing in for a bedtime herbal infusion in the EU?</x:v>
      </x:c>
      <x:c r="P2" s="14" t="str">
        <x:v>Active</x:v>
      </x:c>
      <x:c r="Q2" s="14" t="str">
        <x:v>2026-07-03</x:v>
      </x:c>
      <x:c r="R2" s="14" t="str">
        <x:v>2026-07-03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</x:sheetData>
  <x:pageMargins left="0.7" right="0.7" top="0.75" bottom="0.75" header="0.3" footer="0.3"/>
  <x:tableParts count="1">
    <x:tablePart xmlns:r="http://schemas.openxmlformats.org/officeDocument/2006/relationships" r:id="R0b7e5852aac343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16.8799991607666" hidden="0" customWidth="1"/>
    <x:col min="24" max="24" width="18.6299991607666" hidden="0" customWidth="1"/>
    <x:col min="25" max="25" width="12.630000114440918" hidden="0" customWidth="1"/>
    <x:col min="26" max="26" width="20.7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30" customHeight="1">
      <x:c r="A1" s="6" t="str">
        <x:v>Evidence_ID</x:v>
      </x:c>
      <x:c r="B1" s="6" t="str">
        <x:v>Question_ID</x:v>
      </x:c>
      <x:c r="C1" s="6" t="str">
        <x:v>Plant_ID</x:v>
      </x:c>
      <x:c r="D1" s="6" t="str">
        <x:v>Scientific_Name</x:v>
      </x:c>
      <x:c r="E1" s="6" t="str">
        <x:v>Product_Type</x:v>
      </x:c>
      <x:c r="F1" s="6" t="str">
        <x:v>Dosage_Form</x:v>
      </x:c>
      <x:c r="G1" s="6" t="str">
        <x:v>Target_Indication</x:v>
      </x:c>
      <x:c r="H1" s="6" t="str">
        <x:v>Target_Market</x:v>
      </x:c>
      <x:c r="I1" s="6" t="str">
        <x:v>Plant_Part</x:v>
      </x:c>
      <x:c r="J1" s="6" t="str">
        <x:v>Preparation</x:v>
      </x:c>
      <x:c r="K1" s="6" t="str">
        <x:v>EMA_Status</x:v>
      </x:c>
      <x:c r="L1" s="6" t="str">
        <x:v>WHO_Status</x:v>
      </x:c>
      <x:c r="M1" s="6" t="str">
        <x:v>ESCOP_Status</x:v>
      </x:c>
      <x:c r="N1" s="6" t="str">
        <x:v>Pharmacopoeia_Status</x:v>
      </x:c>
      <x:c r="O1" s="6" t="str">
        <x:v>Clinical_Level</x:v>
      </x:c>
      <x:c r="P1" s="6" t="str">
        <x:v>Clinical_RCT_Count</x:v>
      </x:c>
      <x:c r="Q1" s="6" t="str">
        <x:v>Meta_Level</x:v>
      </x:c>
      <x:c r="R1" s="6" t="str">
        <x:v>Meta_Count</x:v>
      </x:c>
      <x:c r="S1" s="6" t="str">
        <x:v>Human_PK_Evidence</x:v>
      </x:c>
      <x:c r="T1" s="6" t="str">
        <x:v>InVitro_Level</x:v>
      </x:c>
      <x:c r="U1" s="6" t="str">
        <x:v>Animal_Level</x:v>
      </x:c>
      <x:c r="V1" s="6" t="str">
        <x:v>Dosage_Form_Specificity</x:v>
      </x:c>
      <x:c r="W1" s="6" t="str">
        <x:v>Infusion_Evidence</x:v>
      </x:c>
      <x:c r="X1" s="6" t="str">
        <x:v>Evidence_Directness</x:v>
      </x:c>
      <x:c r="Y1" s="6" t="str">
        <x:v>Safety_Level</x:v>
      </x:c>
      <x:c r="Z1" s="6" t="str">
        <x:v>Drug_Interaction_Level</x:v>
      </x:c>
      <x:c r="AA1" s="6" t="str">
        <x:v>Contraindication_Level</x:v>
      </x:c>
      <x:c r="AB1" s="6" t="str">
        <x:v>Pregnancy_Lactation_Risk</x:v>
      </x:c>
      <x:c r="AC1" s="6" t="str">
        <x:v>Children_Risk</x:v>
      </x:c>
      <x:c r="AD1" s="6" t="str">
        <x:v>Novel_Food_Status</x:v>
      </x:c>
      <x:c r="AE1" s="6" t="str">
        <x:v>Regulatory_Status</x:v>
      </x:c>
      <x:c r="AF1" s="6" t="str">
        <x:v>Quality_Control_Level</x:v>
      </x:c>
      <x:c r="AG1" s="6" t="str">
        <x:v>Analytical_Support_Level</x:v>
      </x:c>
      <x:c r="AH1" s="6" t="str">
        <x:v>Commercial_Level</x:v>
      </x:c>
      <x:c r="AI1" s="6" t="str">
        <x:v>Market_Familiarity</x:v>
      </x:c>
      <x:c r="AJ1" s="6" t="str">
        <x:v>Taste_Acceptability</x:v>
      </x:c>
      <x:c r="AK1" s="6" t="str">
        <x:v>Supply_Risk</x:v>
      </x:c>
      <x:c r="AL1" s="6" t="str">
        <x:v>IP_Patent_Risk</x:v>
      </x:c>
      <x:c r="AM1" s="6" t="str">
        <x:v>Evidence_Gap</x:v>
      </x:c>
      <x:c r="AN1" s="6" t="str">
        <x:v>Evidence_Quality_Notes</x:v>
      </x:c>
      <x:c r="AO1" s="6" t="str">
        <x:v>Source_Traceability_Status</x:v>
      </x:c>
      <x:c r="AP1" s="6" t="str">
        <x:v>Curator</x:v>
      </x:c>
      <x:c r="AQ1" s="6" t="str">
        <x:v>Review_Status</x:v>
      </x:c>
      <x:c r="AR1" s="6" t="str">
        <x:v>Last_Updated</x:v>
      </x:c>
    </x:row>
    <x:row r="2">
      <x:c r="A2" s="14" t="str">
        <x:v>E001</x:v>
      </x:c>
      <x:c r="B2" s="14" t="str">
        <x:v>Q001</x:v>
      </x:c>
      <x:c r="C2" s="14" t="str">
        <x:v>P001</x:v>
      </x:c>
      <x:c r="D2" s="14" t="str">
        <x:v>Melissa officinalis L.</x:v>
      </x:c>
      <x:c r="E2" s="14" t="str">
        <x:v>Herbal product</x:v>
      </x:c>
      <x:c r="F2" s="14" t="str">
        <x:v>Infusion</x:v>
      </x:c>
      <x:c r="G2" s="14" t="str">
        <x:v>Sleep and relaxation</x:v>
      </x:c>
      <x:c r="H2" s="14" t="str">
        <x:v>European Union</x:v>
      </x:c>
      <x:c r="I2" s="14" t="str">
        <x:v>Leaf</x:v>
      </x:c>
      <x:c r="J2" s="14" t="str">
        <x:v>Dried herb infusion</x:v>
      </x:c>
      <x:c r="K2" s="14" t="str">
        <x:v>Yes</x:v>
      </x:c>
      <x:c r="L2" s="14" t="str">
        <x:v>Yes</x:v>
      </x:c>
      <x:c r="M2" s="14" t="str">
        <x:v>Yes</x:v>
      </x:c>
      <x:c r="N2" s="14" t="str">
        <x:v>Yes</x:v>
      </x:c>
      <x:c r="O2" s="14" t="str">
        <x:v>Strong</x:v>
      </x:c>
      <x:c r="P2" s="14" t="n">
        <x:v>8</x:v>
      </x:c>
      <x:c r="Q2" s="14" t="str">
        <x:v>Moderate</x:v>
      </x:c>
      <x:c r="R2" s="14" t="n">
        <x:v>2</x:v>
      </x:c>
      <x:c r="S2" s="14" t="str">
        <x:v>Limited</x:v>
      </x:c>
      <x:c r="T2" s="14" t="str">
        <x:v>Moderate</x:v>
      </x:c>
      <x:c r="U2" s="14" t="str">
        <x:v>Limited</x:v>
      </x:c>
      <x:c r="V2" s="14" t="str">
        <x:v>Direct</x:v>
      </x:c>
      <x:c r="W2" s="14" t="str">
        <x:v>Direct</x:v>
      </x:c>
      <x:c r="X2" s="14" t="str">
        <x:v>Direct</x:v>
      </x:c>
      <x:c r="Y2" s="14" t="str">
        <x:v>Good</x:v>
      </x:c>
      <x:c r="Z2" s="14" t="str">
        <x:v>Low</x:v>
      </x:c>
      <x:c r="AA2" s="14" t="str">
        <x:v>Low</x:v>
      </x:c>
      <x:c r="AB2" s="14" t="str">
        <x:v>Low</x:v>
      </x:c>
      <x:c r="AC2" s="14" t="str">
        <x:v>Low</x:v>
      </x:c>
      <x:c r="AD2" s="14" t="str">
        <x:v>No</x:v>
      </x:c>
      <x:c r="AE2" s="14" t="str">
        <x:v>THMP / traditional-use compatible</x:v>
      </x:c>
      <x:c r="AF2" s="14" t="str">
        <x:v>Good</x:v>
      </x:c>
      <x:c r="AG2" s="14" t="str">
        <x:v>Good</x:v>
      </x:c>
      <x:c r="AH2" s="14" t="str">
        <x:v>High</x:v>
      </x:c>
      <x:c r="AI2" s="14" t="str">
        <x:v>High</x:v>
      </x:c>
      <x:c r="AJ2" s="14" t="str">
        <x:v>Good</x:v>
      </x:c>
      <x:c r="AK2" s="14" t="str">
        <x:v>Low</x:v>
      </x:c>
      <x:c r="AL2" s="14" t="str">
        <x:v>Low</x:v>
      </x:c>
      <x:c r="AM2" s="14" t="str">
        <x:v>Direct infusion-specific evidence should be verified source-by-source.</x:v>
      </x:c>
      <x:c r="AN2" s="14" t="str">
        <x:v>Good fit; needs source citation completion.</x:v>
      </x:c>
      <x:c r="AO2" s="14" t="str">
        <x:v>Partial</x:v>
      </x:c>
      <x:c r="AP2" s="14" t="str">
        <x:v>Curator</x:v>
      </x:c>
      <x:c r="AQ2" s="14" t="str">
        <x:v>Draft</x:v>
      </x:c>
      <x:c r="AR2" s="14" t="str">
        <x:v>2026-07-03</x:v>
      </x:c>
    </x:row>
    <x:row r="3">
      <x:c r="A3" s="14" t="str">
        <x:v>E002</x:v>
      </x:c>
      <x:c r="B3" s="14" t="str">
        <x:v>Q001</x:v>
      </x:c>
      <x:c r="C3" s="14" t="str">
        <x:v>P002</x:v>
      </x:c>
      <x:c r="D3" s="14" t="str">
        <x:v>Valeriana officinalis L.</x:v>
      </x:c>
      <x:c r="E3" s="14" t="str">
        <x:v>Herbal product</x:v>
      </x:c>
      <x:c r="F3" s="14" t="str">
        <x:v>Infusion</x:v>
      </x:c>
      <x:c r="G3" s="14" t="str">
        <x:v>Sleep and relaxation</x:v>
      </x:c>
      <x:c r="H3" s="14" t="str">
        <x:v>European Union</x:v>
      </x:c>
      <x:c r="I3" s="14" t="str">
        <x:v>Root/Rhizome</x:v>
      </x:c>
      <x:c r="J3" s="14" t="str">
        <x:v>Dried root infusion</x:v>
      </x:c>
      <x:c r="K3" s="14" t="str">
        <x:v>Yes</x:v>
      </x:c>
      <x:c r="L3" s="14" t="str">
        <x:v>Yes</x:v>
      </x:c>
      <x:c r="M3" s="14" t="str">
        <x:v>Yes</x:v>
      </x:c>
      <x:c r="N3" s="14" t="str">
        <x:v>Yes</x:v>
      </x:c>
      <x:c r="O3" s="14" t="str">
        <x:v>Strong</x:v>
      </x:c>
      <x:c r="P3" s="14" t="n">
        <x:v>10</x:v>
      </x:c>
      <x:c r="Q3" s="14" t="str">
        <x:v>Moderate</x:v>
      </x:c>
      <x:c r="R3" s="14" t="n">
        <x:v>3</x:v>
      </x:c>
      <x:c r="S3" s="14" t="str">
        <x:v>Limited</x:v>
      </x:c>
      <x:c r="T3" s="14" t="str">
        <x:v>Moderate</x:v>
      </x:c>
      <x:c r="U3" s="14" t="str">
        <x:v>Moderate</x:v>
      </x:c>
      <x:c r="V3" s="14" t="str">
        <x:v>Partial</x:v>
      </x:c>
      <x:c r="W3" s="14" t="str">
        <x:v>Indirect</x:v>
      </x:c>
      <x:c r="X3" s="14" t="str">
        <x:v>Indirect</x:v>
      </x:c>
      <x:c r="Y3" s="14" t="str">
        <x:v>Acceptable</x:v>
      </x:c>
      <x:c r="Z3" s="14" t="str">
        <x:v>Medium</x:v>
      </x:c>
      <x:c r="AA3" s="14" t="str">
        <x:v>Medium</x:v>
      </x:c>
      <x:c r="AB3" s="14" t="str">
        <x:v>Medium</x:v>
      </x:c>
      <x:c r="AC3" s="14" t="str">
        <x:v>Medium</x:v>
      </x:c>
      <x:c r="AD3" s="14" t="str">
        <x:v>No</x:v>
      </x:c>
      <x:c r="AE3" s="14" t="str">
        <x:v>THMP / traditional-use compatible</x:v>
      </x:c>
      <x:c r="AF3" s="14" t="str">
        <x:v>Good</x:v>
      </x:c>
      <x:c r="AG3" s="14" t="str">
        <x:v>Good</x:v>
      </x:c>
      <x:c r="AH3" s="14" t="str">
        <x:v>High</x:v>
      </x:c>
      <x:c r="AI3" s="14" t="str">
        <x:v>High</x:v>
      </x:c>
      <x:c r="AJ3" s="14" t="str">
        <x:v>Challenging</x:v>
      </x:c>
      <x:c r="AK3" s="14" t="str">
        <x:v>Low</x:v>
      </x:c>
      <x:c r="AL3" s="14" t="str">
        <x:v>Low</x:v>
      </x:c>
      <x:c r="AM3" s="14" t="str">
        <x:v>Much evidence relates to extracts rather than infusion.</x:v>
      </x:c>
      <x:c r="AN3" s="14" t="str">
        <x:v>Strong sleep reputation but dosage-form transfer must be controlled.</x:v>
      </x:c>
      <x:c r="AO3" s="14" t="str">
        <x:v>Partial</x:v>
      </x:c>
      <x:c r="AP3" s="14" t="str">
        <x:v>Curator</x:v>
      </x:c>
      <x:c r="AQ3" s="14" t="str">
        <x:v>Draft</x:v>
      </x:c>
      <x:c r="AR3" s="14" t="str">
        <x:v>2026-07-03</x:v>
      </x:c>
    </x:row>
    <x:row r="4">
      <x:c r="A4" s="14" t="str">
        <x:v>E003</x:v>
      </x:c>
      <x:c r="B4" s="14" t="str">
        <x:v>Q001</x:v>
      </x:c>
      <x:c r="C4" s="14" t="str">
        <x:v>P003</x:v>
      </x:c>
      <x:c r="D4" s="14" t="str">
        <x:v>Passiflora incarnata L.</x:v>
      </x:c>
      <x:c r="E4" s="14" t="str">
        <x:v>Herbal product</x:v>
      </x:c>
      <x:c r="F4" s="14" t="str">
        <x:v>Infusion</x:v>
      </x:c>
      <x:c r="G4" s="14" t="str">
        <x:v>Sleep and relaxation</x:v>
      </x:c>
      <x:c r="H4" s="14" t="str">
        <x:v>European Union</x:v>
      </x:c>
      <x:c r="I4" s="14" t="str">
        <x:v>Aerial parts</x:v>
      </x:c>
      <x:c r="J4" s="14" t="str">
        <x:v>Dried aerial parts infusion</x:v>
      </x:c>
      <x:c r="K4" s="14" t="str">
        <x:v>Yes</x:v>
      </x:c>
      <x:c r="L4" s="14" t="str">
        <x:v>To verify</x:v>
      </x:c>
      <x:c r="M4" s="14" t="str">
        <x:v>Yes</x:v>
      </x:c>
      <x:c r="N4" s="14" t="str">
        <x:v>To verify</x:v>
      </x:c>
      <x:c r="O4" s="14" t="str">
        <x:v>Moderate</x:v>
      </x:c>
      <x:c r="P4" s="14" t="n">
        <x:v>4</x:v>
      </x:c>
      <x:c r="Q4" s="14" t="str">
        <x:v>Weak</x:v>
      </x:c>
      <x:c r="R4" s="14" t="n">
        <x:v>1</x:v>
      </x:c>
      <x:c r="S4" s="14" t="str">
        <x:v>Limited</x:v>
      </x:c>
      <x:c r="T4" s="14" t="str">
        <x:v>Moderate</x:v>
      </x:c>
      <x:c r="U4" s="14" t="str">
        <x:v>Limited</x:v>
      </x:c>
      <x:c r="V4" s="14" t="str">
        <x:v>Direct</x:v>
      </x:c>
      <x:c r="W4" s="14" t="str">
        <x:v>Direct</x:v>
      </x:c>
      <x:c r="X4" s="14" t="str">
        <x:v>Direct</x:v>
      </x:c>
      <x:c r="Y4" s="14" t="str">
        <x:v>Acceptable</x:v>
      </x:c>
      <x:c r="Z4" s="14" t="str">
        <x:v>Medium</x:v>
      </x:c>
      <x:c r="AA4" s="14" t="str">
        <x:v>Low</x:v>
      </x:c>
      <x:c r="AB4" s="14" t="str">
        <x:v>Medium</x:v>
      </x:c>
      <x:c r="AC4" s="14" t="str">
        <x:v>Medium</x:v>
      </x:c>
      <x:c r="AD4" s="14" t="str">
        <x:v>No</x:v>
      </x:c>
      <x:c r="AE4" s="14" t="str">
        <x:v>Traditional-use compatible</x:v>
      </x:c>
      <x:c r="AF4" s="14" t="str">
        <x:v>Moderate</x:v>
      </x:c>
      <x:c r="AG4" s="14" t="str">
        <x:v>Moderate</x:v>
      </x:c>
      <x:c r="AH4" s="14" t="str">
        <x:v>Medium</x:v>
      </x:c>
      <x:c r="AI4" s="14" t="str">
        <x:v>Medium</x:v>
      </x:c>
      <x:c r="AJ4" s="14" t="str">
        <x:v>Good</x:v>
      </x:c>
      <x:c r="AK4" s="14" t="str">
        <x:v>Low</x:v>
      </x:c>
      <x:c r="AL4" s="14" t="str">
        <x:v>Low</x:v>
      </x:c>
      <x:c r="AM4" s="14" t="str">
        <x:v>Clinical evidence more limited than regulatory traditional-use fit.</x:v>
      </x:c>
      <x:c r="AN4" s="14" t="str">
        <x:v>Useful candidate but not top without stronger human evidence.</x:v>
      </x:c>
      <x:c r="AO4" s="14" t="str">
        <x:v>Partial</x:v>
      </x:c>
      <x:c r="AP4" s="14" t="str">
        <x:v>Curator</x:v>
      </x:c>
      <x:c r="AQ4" s="14" t="str">
        <x:v>Draft</x:v>
      </x:c>
      <x:c r="AR4" s="14" t="str">
        <x:v>2026-07-03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</x:row>
  </x:sheetData>
  <x:conditionalFormatting sqref="AE2:AE100">
    <x:cfRule type="expression" dxfId="0" priority="1">
      <x:formula>AE2="Good"</x:formula>
    </x:cfRule>
    <x:cfRule type="expression" dxfId="1" priority="2">
      <x:formula>AE2="Caution"</x:formula>
    </x:cfRule>
  </x:conditionalFormatting>
  <x:dataValidations count="6">
    <x:dataValidation type="list" sqref="K2:M500">
      <x:formula1>"Yes,No,To verify"</x:formula1>
    </x:dataValidation>
    <x:dataValidation type="list" sqref="O2:O500">
      <x:formula1>"None,Weak,Moderate,Strong,To verify"</x:formula1>
    </x:dataValidation>
    <x:dataValidation type="list" sqref="Q2:Q500">
      <x:formula1>"None,Weak,Moderate,Strong,To verify"</x:formula1>
    </x:dataValidation>
    <x:dataValidation type="list" sqref="X2:X500">
      <x:formula1>"Direct,Indirect,Not found,To verify"</x:formula1>
    </x:dataValidation>
    <x:dataValidation type="list" sqref="AE2:AE500">
      <x:formula1>"Good,Acceptable,Caution,High risk,To verify"</x:formula1>
    </x:dataValidation>
    <x:dataValidation type="list" sqref="AH2:AH500">
      <x:formula1>"Low,Medium,High,To verify"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a46648c3bd4b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6" t="str">
        <x:v>Reference_ID</x:v>
      </x:c>
      <x:c r="B1" s="6" t="str">
        <x:v>Evidence_ID</x:v>
      </x:c>
      <x:c r="C1" s="6" t="str">
        <x:v>Plant_ID</x:v>
      </x:c>
      <x:c r="D1" s="6" t="str">
        <x:v>Source_Type</x:v>
      </x:c>
      <x:c r="E1" s="6" t="str">
        <x:v>Organization</x:v>
      </x:c>
      <x:c r="F1" s="6" t="str">
        <x:v>Database</x:v>
      </x:c>
      <x:c r="G1" s="6" t="str">
        <x:v>Title</x:v>
      </x:c>
      <x:c r="H1" s="6" t="str">
        <x:v>Authors</x:v>
      </x:c>
      <x:c r="I1" s="6" t="str">
        <x:v>Year</x:v>
      </x:c>
      <x:c r="J1" s="6" t="str">
        <x:v>DOI</x:v>
      </x:c>
      <x:c r="K1" s="6" t="str">
        <x:v>PMID</x:v>
      </x:c>
      <x:c r="L1" s="6" t="str">
        <x:v>URL</x:v>
      </x:c>
      <x:c r="M1" s="6" t="str">
        <x:v>Document_ID</x:v>
      </x:c>
      <x:c r="N1" s="6" t="str">
        <x:v>Page_Range</x:v>
      </x:c>
      <x:c r="O1" s="6" t="str">
        <x:v>Evidence_Type</x:v>
      </x:c>
      <x:c r="P1" s="6" t="str">
        <x:v>Dosage_Form_Studied</x:v>
      </x:c>
      <x:c r="Q1" s="6" t="str">
        <x:v>Population</x:v>
      </x:c>
      <x:c r="R1" s="6" t="str">
        <x:v>Outcome</x:v>
      </x:c>
      <x:c r="S1" s="6" t="str">
        <x:v>Relevance_To_Question</x:v>
      </x:c>
      <x:c r="T1" s="6" t="str">
        <x:v>Quality_Rating</x:v>
      </x:c>
      <x:c r="U1" s="6" t="str">
        <x:v>Extraction_Status</x:v>
      </x:c>
      <x:c r="V1" s="6" t="str">
        <x:v>Notes</x:v>
      </x:c>
    </x:row>
    <x:row r="2">
      <x:c r="A2" s="14" t="str">
        <x:v>R001</x:v>
      </x:c>
      <x:c r="B2" s="14" t="str">
        <x:v>E001</x:v>
      </x:c>
      <x:c r="C2" s="14" t="str">
        <x:v>P001</x:v>
      </x:c>
      <x:c r="D2" s="14" t="str">
        <x:v>Monograph</x:v>
      </x:c>
      <x:c r="E2" s="14" t="str">
        <x:v>EMA-HMPC</x:v>
      </x:c>
      <x:c r="F2" s="14" t="str">
        <x:v>EMA</x:v>
      </x:c>
      <x:c r="G2" s="14" t="str">
        <x:v>Monograph / assessment report placeholder</x:v>
      </x:c>
      <x:c r="H2" s="14" t="str"/>
      <x:c r="I2" s="14" t="str"/>
      <x:c r="J2" s="14" t="str"/>
      <x:c r="K2" s="14" t="str"/>
      <x:c r="L2" s="14" t="str"/>
      <x:c r="M2" s="14" t="str"/>
      <x:c r="N2" s="14" t="str"/>
      <x:c r="O2" s="14" t="str">
        <x:v>Regulatory monograph</x:v>
      </x:c>
      <x:c r="P2" s="14" t="str">
        <x:v>Herbal substance / infusion</x:v>
      </x:c>
      <x:c r="Q2" s="14" t="str">
        <x:v>Adults</x:v>
      </x:c>
      <x:c r="R2" s="14" t="str">
        <x:v>Traditional use</x:v>
      </x:c>
      <x:c r="S2" s="14" t="str">
        <x:v>High</x:v>
      </x:c>
      <x:c r="T2" s="14" t="str">
        <x:v>High</x:v>
      </x:c>
      <x:c r="U2" s="14" t="str">
        <x:v>To extract</x:v>
      </x:c>
      <x:c r="V2" s="14" t="str">
        <x:v>Replace placeholder with actual URL/page.</x:v>
      </x:c>
    </x:row>
    <x:row r="3">
      <x:c r="A3" s="14" t="str">
        <x:v>R002</x:v>
      </x:c>
      <x:c r="B3" s="14" t="str">
        <x:v>E002</x:v>
      </x:c>
      <x:c r="C3" s="14" t="str">
        <x:v>P002</x:v>
      </x:c>
      <x:c r="D3" s="14" t="str">
        <x:v>Monograph</x:v>
      </x:c>
      <x:c r="E3" s="14" t="str">
        <x:v>EMA-HMPC</x:v>
      </x:c>
      <x:c r="F3" s="14" t="str">
        <x:v>EMA</x:v>
      </x:c>
      <x:c r="G3" s="14" t="str">
        <x:v>Monograph / assessment report placeholder</x:v>
      </x:c>
      <x:c r="H3" s="14" t="str"/>
      <x:c r="I3" s="14" t="str"/>
      <x:c r="J3" s="14" t="str"/>
      <x:c r="K3" s="14" t="str"/>
      <x:c r="L3" s="14" t="str"/>
      <x:c r="M3" s="14" t="str"/>
      <x:c r="N3" s="14" t="str"/>
      <x:c r="O3" s="14" t="str">
        <x:v>Regulatory monograph</x:v>
      </x:c>
      <x:c r="P3" s="14" t="str">
        <x:v>Herbal substance / extract / infusion</x:v>
      </x:c>
      <x:c r="Q3" s="14" t="str">
        <x:v>Adults</x:v>
      </x:c>
      <x:c r="R3" s="14" t="str">
        <x:v>Sleep/nervous tension</x:v>
      </x:c>
      <x:c r="S3" s="14" t="str">
        <x:v>High</x:v>
      </x:c>
      <x:c r="T3" s="14" t="str">
        <x:v>High</x:v>
      </x:c>
      <x:c r="U3" s="14" t="str">
        <x:v>To extract</x:v>
      </x:c>
      <x:c r="V3" s="14" t="str">
        <x:v>Check dosage form details.</x:v>
      </x:c>
    </x:row>
    <x:row r="4">
      <x:c r="A4" s="14" t="str">
        <x:v>R003</x:v>
      </x:c>
      <x:c r="B4" s="14" t="str">
        <x:v>E003</x:v>
      </x:c>
      <x:c r="C4" s="14" t="str">
        <x:v>P003</x:v>
      </x:c>
      <x:c r="D4" s="14" t="str">
        <x:v>Monograph</x:v>
      </x:c>
      <x:c r="E4" s="14" t="str">
        <x:v>EMA-HMPC</x:v>
      </x:c>
      <x:c r="F4" s="14" t="str">
        <x:v>EMA</x:v>
      </x:c>
      <x:c r="G4" s="14" t="str">
        <x:v>Monograph / assessment report placeholder</x:v>
      </x:c>
      <x:c r="H4" s="14" t="str"/>
      <x:c r="I4" s="14" t="str"/>
      <x:c r="J4" s="14" t="str"/>
      <x:c r="K4" s="14" t="str"/>
      <x:c r="L4" s="14" t="str"/>
      <x:c r="M4" s="14" t="str"/>
      <x:c r="N4" s="14" t="str"/>
      <x:c r="O4" s="14" t="str">
        <x:v>Regulatory monograph</x:v>
      </x:c>
      <x:c r="P4" s="14" t="str">
        <x:v>Herbal substance / infusion</x:v>
      </x:c>
      <x:c r="Q4" s="14" t="str">
        <x:v>Adults</x:v>
      </x:c>
      <x:c r="R4" s="14" t="str">
        <x:v>Stress/sleep support</x:v>
      </x:c>
      <x:c r="S4" s="14" t="str">
        <x:v>High</x:v>
      </x:c>
      <x:c r="T4" s="14" t="str">
        <x:v>Medium</x:v>
      </x:c>
      <x:c r="U4" s="14" t="str">
        <x:v>To extract</x:v>
      </x:c>
      <x:c r="V4" s="14" t="str">
        <x:v>Replace placeholder.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</x:row>
  </x:sheetData>
  <x:pageMargins left="0.7" right="0.7" top="0.75" bottom="0.75" header="0.3" footer="0.3"/>
  <x:tableParts count="1">
    <x:tablePart xmlns:r="http://schemas.openxmlformats.org/officeDocument/2006/relationships" r:id="Rccece435813e4f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.5" hidden="0" customWidth="1"/>
    <x:col min="3" max="3" width="16.8799991607666" hidden="0" customWidth="1"/>
    <x:col min="4" max="4" width="16.1299991607666" hidden="0" customWidth="1"/>
    <x:col min="5" max="5" width="14.25" hidden="0" customWidth="1"/>
    <x:col min="6" max="6" width="34" hidden="0" customWidth="1"/>
    <x:col min="7" max="7" width="20.8799991607666" hidden="0" customWidth="1"/>
    <x:col min="8" max="8" width="17.6299991607666" hidden="0" customWidth="1"/>
    <x:col min="9" max="9" width="21.3799991607666" hidden="0" customWidth="1"/>
    <x:col min="10" max="10" width="14.630000114440918" hidden="0" customWidth="1"/>
    <x:col min="11" max="11" width="32.880001068115234" hidden="0" customWidth="1"/>
  </x:cols>
  <x:sheetData>
    <x:row r="1" ht="30" customHeight="1">
      <x:c r="A1" s="6" t="str">
        <x:v>Compound_ID</x:v>
      </x:c>
      <x:c r="B1" s="6" t="str">
        <x:v>Plant_ID</x:v>
      </x:c>
      <x:c r="C1" s="6" t="str">
        <x:v>Compound_Name</x:v>
      </x:c>
      <x:c r="D1" s="6" t="str">
        <x:v>Compound_Class</x:v>
      </x:c>
      <x:c r="E1" s="6" t="str">
        <x:v>Marker_Status</x:v>
      </x:c>
      <x:c r="F1" s="6" t="str">
        <x:v>Known_Targets</x:v>
      </x:c>
      <x:c r="G1" s="6" t="str">
        <x:v>Mechanistic_Relevance</x:v>
      </x:c>
      <x:c r="H1" s="6" t="str">
        <x:v>Analytical_Method</x:v>
      </x:c>
      <x:c r="I1" s="6" t="str">
        <x:v>Pharmacopoeia_Marker</x:v>
      </x:c>
      <x:c r="J1" s="6" t="str">
        <x:v>Evidence_Level</x:v>
      </x:c>
      <x:c r="K1" s="6" t="str">
        <x:v>Notes</x:v>
      </x:c>
    </x:row>
    <x:row r="2">
      <x:c r="A2" s="14" t="str">
        <x:v>C001</x:v>
      </x:c>
      <x:c r="B2" s="14" t="str">
        <x:v>P001</x:v>
      </x:c>
      <x:c r="C2" s="14" t="str">
        <x:v>Rosmarinic acid</x:v>
      </x:c>
      <x:c r="D2" s="14" t="str">
        <x:v>Phenolic acid</x:v>
      </x:c>
      <x:c r="E2" s="14" t="str">
        <x:v>QC marker</x:v>
      </x:c>
      <x:c r="F2" s="14" t="str">
        <x:v>GABAergic / anti-oxidant pathways (to verify)</x:v>
      </x:c>
      <x:c r="G2" s="14" t="str">
        <x:v>Potentially relevant</x:v>
      </x:c>
      <x:c r="H2" s="14" t="str">
        <x:v>HPLC/LC-MS</x:v>
      </x:c>
      <x:c r="I2" s="14" t="str">
        <x:v>Yes</x:v>
      </x:c>
      <x:c r="J2" s="14" t="str">
        <x:v>Moderate</x:v>
      </x:c>
      <x:c r="K2" s="14" t="str">
        <x:v>Placeholder; verify source.</x:v>
      </x:c>
    </x:row>
    <x:row r="3">
      <x:c r="A3" s="14" t="str">
        <x:v>C002</x:v>
      </x:c>
      <x:c r="B3" s="14" t="str">
        <x:v>P002</x:v>
      </x:c>
      <x:c r="C3" s="14" t="str">
        <x:v>Valerenic acids</x:v>
      </x:c>
      <x:c r="D3" s="14" t="str">
        <x:v>Sesquiterpenes</x:v>
      </x:c>
      <x:c r="E3" s="14" t="str">
        <x:v>QC marker</x:v>
      </x:c>
      <x:c r="F3" s="14" t="str">
        <x:v>GABAergic pathways</x:v>
      </x:c>
      <x:c r="G3" s="14" t="str">
        <x:v>Potentially relevant</x:v>
      </x:c>
      <x:c r="H3" s="14" t="str">
        <x:v>HPLC/LC-MS</x:v>
      </x:c>
      <x:c r="I3" s="14" t="str">
        <x:v>Yes</x:v>
      </x:c>
      <x:c r="J3" s="14" t="str">
        <x:v>Moderate</x:v>
      </x:c>
      <x:c r="K3" s="14" t="str">
        <x:v>Extract relevance; infusion transfer caution.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</x:sheetData>
  <x:pageMargins left="0.7" right="0.7" top="0.75" bottom="0.75" header="0.3" footer="0.3"/>
  <x:tableParts count="1">
    <x:tablePart xmlns:r="http://schemas.openxmlformats.org/officeDocument/2006/relationships" r:id="Rfc8a3d99475c45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380000114440918" hidden="0" customWidth="1"/>
    <x:col min="3" max="3" width="9.5" hidden="0" customWidth="1"/>
    <x:col min="4" max="4" width="11.880000114440918" hidden="0" customWidth="1"/>
    <x:col min="5" max="5" width="16.3799991607666" hidden="0" customWidth="1"/>
    <x:col min="6" max="6" width="13.5" hidden="0" customWidth="1"/>
    <x:col min="7" max="7" width="12" hidden="0" customWidth="1"/>
    <x:col min="8" max="8" width="6.880000114440918" hidden="0" customWidth="1"/>
    <x:col min="9" max="9" width="11.380000114440918" hidden="0" customWidth="1"/>
    <x:col min="10" max="10" width="12.5" hidden="0" customWidth="1"/>
    <x:col min="11" max="11" width="12.130000114440918" hidden="0" customWidth="1"/>
    <x:col min="12" max="12" width="9.75" hidden="0" customWidth="1"/>
    <x:col min="13" max="13" width="17" hidden="0" customWidth="1"/>
    <x:col min="14" max="14" width="15.630000114440918" hidden="0" customWidth="1"/>
    <x:col min="15" max="15" width="11.130000114440918" hidden="0" customWidth="1"/>
    <x:col min="16" max="16" width="15" hidden="0" customWidth="1"/>
    <x:col min="17" max="17" width="12.630000114440918" hidden="0" customWidth="1"/>
    <x:col min="18" max="18" width="11" hidden="0" customWidth="1"/>
    <x:col min="19" max="19" width="11.630000114440918" hidden="0" customWidth="1"/>
    <x:col min="20" max="20" width="22.8799991607666" hidden="0" customWidth="1"/>
  </x:cols>
  <x:sheetData>
    <x:row r="1" ht="30" customHeight="1">
      <x:c r="A1" s="6" t="str">
        <x:v>Study_ID</x:v>
      </x:c>
      <x:c r="B1" s="6" t="str">
        <x:v>Evidence_ID</x:v>
      </x:c>
      <x:c r="C1" s="6" t="str">
        <x:v>Plant_ID</x:v>
      </x:c>
      <x:c r="D1" s="6" t="str">
        <x:v>Study_Type</x:v>
      </x:c>
      <x:c r="E1" s="6" t="str">
        <x:v>Design</x:v>
      </x:c>
      <x:c r="F1" s="6" t="str">
        <x:v>Dosage_Form</x:v>
      </x:c>
      <x:c r="G1" s="6" t="str">
        <x:v>Preparation</x:v>
      </x:c>
      <x:c r="H1" s="6" t="str">
        <x:v>Dose</x:v>
      </x:c>
      <x:c r="I1" s="6" t="str">
        <x:v>Population</x:v>
      </x:c>
      <x:c r="J1" s="6" t="str">
        <x:v>Sample_Size</x:v>
      </x:c>
      <x:c r="K1" s="6" t="str">
        <x:v>Comparator</x:v>
      </x:c>
      <x:c r="L1" s="6" t="str">
        <x:v>Duration</x:v>
      </x:c>
      <x:c r="M1" s="6" t="str">
        <x:v>Primary_Outcome</x:v>
      </x:c>
      <x:c r="N1" s="6" t="str">
        <x:v>Result_Direction</x:v>
      </x:c>
      <x:c r="O1" s="6" t="str">
        <x:v>Effect_Size</x:v>
      </x:c>
      <x:c r="P1" s="6" t="str">
        <x:v>Safety_Findings</x:v>
      </x:c>
      <x:c r="Q1" s="6" t="str">
        <x:v>Risk_of_Bias</x:v>
      </x:c>
      <x:c r="R1" s="6" t="str">
        <x:v>Directness</x:v>
      </x:c>
      <x:c r="S1" s="6" t="str">
        <x:v>Citation_ID</x:v>
      </x:c>
      <x:c r="T1" s="6" t="str">
        <x:v>Notes</x:v>
      </x:c>
    </x:row>
    <x:row r="2">
      <x:c r="A2" s="14" t="str">
        <x:v>S001</x:v>
      </x:c>
      <x:c r="B2" s="14" t="str">
        <x:v>E001</x:v>
      </x:c>
      <x:c r="C2" s="14" t="str">
        <x:v>P001</x:v>
      </x:c>
      <x:c r="D2" s="14" t="str">
        <x:v>RCT</x:v>
      </x:c>
      <x:c r="E2" s="14" t="str">
        <x:v>Parallel / randomized</x:v>
      </x:c>
      <x:c r="F2" s="14" t="str">
        <x:v>To verify</x:v>
      </x:c>
      <x:c r="G2" s="14" t="str">
        <x:v>To verify</x:v>
      </x:c>
      <x:c r="H2" s="14" t="str"/>
      <x:c r="I2" s="14" t="str">
        <x:v>Adults</x:v>
      </x:c>
      <x:c r="J2" s="14" t="str"/>
      <x:c r="K2" s="14" t="str">
        <x:v>Placebo</x:v>
      </x:c>
      <x:c r="L2" s="14" t="str"/>
      <x:c r="M2" s="14" t="str">
        <x:v>Sleep/stress outcome</x:v>
      </x:c>
      <x:c r="N2" s="14" t="str">
        <x:v>To verify</x:v>
      </x:c>
      <x:c r="O2" s="14" t="str"/>
      <x:c r="P2" s="14" t="str"/>
      <x:c r="Q2" s="14" t="str">
        <x:v>To verify</x:v>
      </x:c>
      <x:c r="R2" s="14" t="str">
        <x:v>To verify</x:v>
      </x:c>
      <x:c r="S2" s="14" t="str">
        <x:v>R001</x:v>
      </x:c>
      <x:c r="T2" s="14" t="str">
        <x:v>Placeholder for extracted RCT.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</x:row>
  </x:sheetData>
  <x:pageMargins left="0.7" right="0.7" top="0.75" bottom="0.75" header="0.3" footer="0.3"/>
  <x:tableParts count="1">
    <x:tablePart xmlns:r="http://schemas.openxmlformats.org/officeDocument/2006/relationships" r:id="R22f7bfe0d2344f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9.5" hidden="0" customWidth="1"/>
    <x:col min="3" max="3" width="11.880000114440918" hidden="0" customWidth="1"/>
    <x:col min="4" max="4" width="8" hidden="0" customWidth="1"/>
    <x:col min="5" max="5" width="12" hidden="0" customWidth="1"/>
    <x:col min="6" max="6" width="6.880000114440918" hidden="0" customWidth="1"/>
    <x:col min="7" max="7" width="10" hidden="0" customWidth="1"/>
    <x:col min="8" max="8" width="7.75" hidden="0" customWidth="1"/>
    <x:col min="9" max="9" width="17.8799991607666" hidden="0" customWidth="1"/>
    <x:col min="10" max="10" width="20.5" hidden="0" customWidth="1"/>
    <x:col min="11" max="11" width="11.630000114440918" hidden="0" customWidth="1"/>
    <x:col min="12" max="12" width="7.5" hidden="0" customWidth="1"/>
  </x:cols>
  <x:sheetData>
    <x:row r="1" ht="30" customHeight="1">
      <x:c r="A1" s="6" t="str">
        <x:v>Preclinical_ID</x:v>
      </x:c>
      <x:c r="B1" s="6" t="str">
        <x:v>Plant_ID</x:v>
      </x:c>
      <x:c r="C1" s="6" t="str">
        <x:v>Study_Type</x:v>
      </x:c>
      <x:c r="D1" s="6" t="str">
        <x:v>Model</x:v>
      </x:c>
      <x:c r="E1" s="6" t="str">
        <x:v>Preparation</x:v>
      </x:c>
      <x:c r="F1" s="6" t="str">
        <x:v>Dose</x:v>
      </x:c>
      <x:c r="G1" s="6" t="str">
        <x:v>Endpoint</x:v>
      </x:c>
      <x:c r="H1" s="6" t="str">
        <x:v>Result</x:v>
      </x:c>
      <x:c r="I1" s="6" t="str">
        <x:v>Mechanistic_Target</x:v>
      </x:c>
      <x:c r="J1" s="6" t="str">
        <x:v>Directness_To_Product</x:v>
      </x:c>
      <x:c r="K1" s="6" t="str">
        <x:v>Citation_ID</x:v>
      </x:c>
      <x:c r="L1" s="6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bcd9ac9e1627490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9.5" hidden="0" customWidth="1"/>
    <x:col min="3" max="3" width="29" hidden="0" customWidth="1"/>
    <x:col min="4" max="4" width="18.1299991607666" hidden="0" customWidth="1"/>
    <x:col min="5" max="5" width="18.25" hidden="0" customWidth="1"/>
    <x:col min="6" max="6" width="16.6299991607666" hidden="0" customWidth="1"/>
    <x:col min="7" max="7" width="16" hidden="0" customWidth="1"/>
    <x:col min="8" max="8" width="16" hidden="0" customWidth="1"/>
    <x:col min="9" max="9" width="9.380000114440918" hidden="0" customWidth="1"/>
    <x:col min="10" max="10" width="17.5" hidden="0" customWidth="1"/>
    <x:col min="11" max="11" width="12.880000114440918" hidden="0" customWidth="1"/>
    <x:col min="12" max="12" width="11.380000114440918" hidden="0" customWidth="1"/>
    <x:col min="13" max="13" width="12.380000114440918" hidden="0" customWidth="1"/>
    <x:col min="14" max="14" width="12.630000114440918" hidden="0" customWidth="1"/>
    <x:col min="15" max="15" width="11.630000114440918" hidden="0" customWidth="1"/>
    <x:col min="16" max="16" width="21.3799991607666" hidden="0" customWidth="1"/>
  </x:cols>
  <x:sheetData>
    <x:row r="1" ht="30" customHeight="1">
      <x:c r="A1" s="6" t="str">
        <x:v>Safety_ID</x:v>
      </x:c>
      <x:c r="B1" s="6" t="str">
        <x:v>Plant_ID</x:v>
      </x:c>
      <x:c r="C1" s="6" t="str">
        <x:v>General_Safety</x:v>
      </x:c>
      <x:c r="D1" s="6" t="str">
        <x:v>Adverse_Events</x:v>
      </x:c>
      <x:c r="E1" s="6" t="str">
        <x:v>Contraindications</x:v>
      </x:c>
      <x:c r="F1" s="6" t="str">
        <x:v>Drug_Interactions</x:v>
      </x:c>
      <x:c r="G1" s="6" t="str">
        <x:v>Pregnancy</x:v>
      </x:c>
      <x:c r="H1" s="6" t="str">
        <x:v>Lactation</x:v>
      </x:c>
      <x:c r="I1" s="6" t="str">
        <x:v>Children</x:v>
      </x:c>
      <x:c r="J1" s="6" t="str">
        <x:v>Driving_Machinery</x:v>
      </x:c>
      <x:c r="K1" s="6" t="str">
        <x:v>Hepatic_Risk</x:v>
      </x:c>
      <x:c r="L1" s="6" t="str">
        <x:v>Renal_Risk</x:v>
      </x:c>
      <x:c r="M1" s="6" t="str">
        <x:v>Allergy_Risk</x:v>
      </x:c>
      <x:c r="N1" s="6" t="str">
        <x:v>Safety_Level</x:v>
      </x:c>
      <x:c r="O1" s="6" t="str">
        <x:v>Citation_ID</x:v>
      </x:c>
      <x:c r="P1" s="6" t="str">
        <x:v>Notes</x:v>
      </x:c>
    </x:row>
    <x:row r="2">
      <x:c r="A2" s="14" t="str">
        <x:v>SA001</x:v>
      </x:c>
      <x:c r="B2" s="14" t="str">
        <x:v>P001</x:v>
      </x:c>
      <x:c r="C2" s="14" t="str">
        <x:v>Generally acceptable in traditional use</x:v>
      </x:c>
      <x:c r="D2" s="14" t="str">
        <x:v>Rare GI/allergy possible</x:v>
      </x:c>
      <x:c r="E2" s="14" t="str">
        <x:v>Hypersensitivity</x:v>
      </x:c>
      <x:c r="F2" s="14" t="str">
        <x:v>Sedatives: verify</x:v>
      </x:c>
      <x:c r="G2" s="14" t="str">
        <x:v>Avoid unless advised</x:v>
      </x:c>
      <x:c r="H2" s="14" t="str">
        <x:v>Avoid unless advised</x:v>
      </x:c>
      <x:c r="I2" s="14" t="str">
        <x:v>Verify</x:v>
      </x:c>
      <x:c r="J2" s="14" t="str">
        <x:v>Low concern</x:v>
      </x:c>
      <x:c r="K2" s="14" t="str">
        <x:v>Low</x:v>
      </x:c>
      <x:c r="L2" s="14" t="str">
        <x:v>Low</x:v>
      </x:c>
      <x:c r="M2" s="14" t="str">
        <x:v>Low</x:v>
      </x:c>
      <x:c r="N2" s="14" t="str">
        <x:v>Good</x:v>
      </x:c>
      <x:c r="O2" s="14" t="str">
        <x:v>R001</x:v>
      </x:c>
      <x:c r="P2" s="14" t="str">
        <x:v>Placeholder.</x:v>
      </x:c>
    </x:row>
    <x:row r="3">
      <x:c r="A3" s="14" t="str">
        <x:v>SA002</x:v>
      </x:c>
      <x:c r="B3" s="14" t="str">
        <x:v>P002</x:v>
      </x:c>
      <x:c r="C3" s="14" t="str">
        <x:v>Sedative effects possible</x:v>
      </x:c>
      <x:c r="D3" s="14" t="str">
        <x:v>Drowsiness</x:v>
      </x:c>
      <x:c r="E3" s="14" t="str">
        <x:v>Caution CNS depression</x:v>
      </x:c>
      <x:c r="F3" s="14" t="str">
        <x:v>Sedatives/alcohol</x:v>
      </x:c>
      <x:c r="G3" s="14" t="str">
        <x:v>Avoid unless advised</x:v>
      </x:c>
      <x:c r="H3" s="14" t="str">
        <x:v>Avoid unless advised</x:v>
      </x:c>
      <x:c r="I3" s="14" t="str">
        <x:v>Verify</x:v>
      </x:c>
      <x:c r="J3" s="14" t="str">
        <x:v>Caution</x:v>
      </x:c>
      <x:c r="K3" s="14" t="str">
        <x:v>Low</x:v>
      </x:c>
      <x:c r="L3" s="14" t="str">
        <x:v>Low</x:v>
      </x:c>
      <x:c r="M3" s="14" t="str">
        <x:v>Low</x:v>
      </x:c>
      <x:c r="N3" s="14" t="str">
        <x:v>Acceptable</x:v>
      </x:c>
      <x:c r="O3" s="14" t="str">
        <x:v>R002</x:v>
      </x:c>
      <x:c r="P3" s="14" t="str">
        <x:v>Driving/machinery warning.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</x:sheetData>
  <x:pageMargins left="0.7" right="0.7" top="0.75" bottom="0.75" header="0.3" footer="0.3"/>
  <x:tableParts count="1">
    <x:tablePart xmlns:r="http://schemas.openxmlformats.org/officeDocument/2006/relationships" r:id="Rf9ed0ea6be6f4a5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6" t="str">
        <x:v>Regulatory_ID</x:v>
      </x:c>
      <x:c r="B1" s="6" t="str">
        <x:v>Plant_ID</x:v>
      </x:c>
      <x:c r="C1" s="6" t="str">
        <x:v>Market</x:v>
      </x:c>
      <x:c r="D1" s="6" t="str">
        <x:v>Regulatory_Body</x:v>
      </x:c>
      <x:c r="E1" s="6" t="str">
        <x:v>Status</x:v>
      </x:c>
      <x:c r="F1" s="6" t="str">
        <x:v>Allowed_Claims</x:v>
      </x:c>
      <x:c r="G1" s="6" t="str">
        <x:v>Restricted_Claims</x:v>
      </x:c>
      <x:c r="H1" s="6" t="str">
        <x:v>Dosage_Form_Allowed</x:v>
      </x:c>
      <x:c r="I1" s="6" t="str">
        <x:v>Quality_Requirement</x:v>
      </x:c>
      <x:c r="J1" s="6" t="str">
        <x:v>Label_Warnings</x:v>
      </x:c>
      <x:c r="K1" s="6" t="str">
        <x:v>Novel_Food_Status</x:v>
      </x:c>
      <x:c r="L1" s="6" t="str">
        <x:v>THMP_Status</x:v>
      </x:c>
      <x:c r="M1" s="6" t="str">
        <x:v>Food_Supplement_Status</x:v>
      </x:c>
      <x:c r="N1" s="6" t="str">
        <x:v>Cosmetic_Status</x:v>
      </x:c>
      <x:c r="O1" s="6" t="str">
        <x:v>Citation_ID</x:v>
      </x:c>
      <x:c r="P1" s="6" t="str">
        <x:v>Notes</x:v>
      </x:c>
    </x:row>
    <x:row r="2">
      <x:c r="A2" s="14" t="str">
        <x:v>REG001</x:v>
      </x:c>
      <x:c r="B2" s="14" t="str">
        <x:v>P001</x:v>
      </x:c>
      <x:c r="C2" s="14" t="str">
        <x:v>European Union</x:v>
      </x:c>
      <x:c r="D2" s="14" t="str">
        <x:v>EMA-HMPC</x:v>
      </x:c>
      <x:c r="E2" s="14" t="str">
        <x:v>Traditional use</x:v>
      </x:c>
      <x:c r="F2" s="14" t="str">
        <x:v>Mild stress / aid sleep (verify wording)</x:v>
      </x:c>
      <x:c r="G2" s="14" t="str">
        <x:v>Disease treatment claims</x:v>
      </x:c>
      <x:c r="H2" s="14" t="str">
        <x:v>Herbal substance / infusion</x:v>
      </x:c>
      <x:c r="I2" s="14" t="str">
        <x:v>Monograph compliance</x:v>
      </x:c>
      <x:c r="J2" s="14" t="str">
        <x:v>Verify</x:v>
      </x:c>
      <x:c r="K2" s="14" t="str">
        <x:v>No</x:v>
      </x:c>
      <x:c r="L2" s="14" t="str">
        <x:v>Potentially relevant</x:v>
      </x:c>
      <x:c r="M2" s="14" t="str">
        <x:v>Possible</x:v>
      </x:c>
      <x:c r="N2" s="14" t="str">
        <x:v>Not applicable</x:v>
      </x:c>
      <x:c r="O2" s="14" t="str">
        <x:v>R001</x:v>
      </x:c>
      <x:c r="P2" s="14" t="str">
        <x:v>Check exact legal category.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</x:sheetData>
  <x:pageMargins left="0.7" right="0.7" top="0.75" bottom="0.75" header="0.3" footer="0.3"/>
  <x:tableParts count="1">
    <x:tablePart xmlns:r="http://schemas.openxmlformats.org/officeDocument/2006/relationships" r:id="R678933611db54b9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9.5" hidden="0" customWidth="1"/>
    <x:col min="3" max="3" width="15" hidden="0" customWidth="1"/>
    <x:col min="4" max="4" width="17.3799991607666" hidden="0" customWidth="1"/>
    <x:col min="5" max="5" width="11" hidden="0" customWidth="1"/>
    <x:col min="6" max="6" width="20.25" hidden="0" customWidth="1"/>
    <x:col min="7" max="7" width="14.380000114440918" hidden="0" customWidth="1"/>
    <x:col min="8" max="8" width="8.630000114440918" hidden="0" customWidth="1"/>
    <x:col min="9" max="9" width="7.630000114440918" hidden="0" customWidth="1"/>
    <x:col min="10" max="10" width="7.75" hidden="0" customWidth="1"/>
    <x:col min="11" max="11" width="11.630000114440918" hidden="0" customWidth="1"/>
    <x:col min="12" max="12" width="7.5" hidden="0" customWidth="1"/>
  </x:cols>
  <x:sheetData>
    <x:row r="1" ht="30" customHeight="1">
      <x:c r="A1" s="6" t="str">
        <x:v>Pharmacopoeia_ID</x:v>
      </x:c>
      <x:c r="B1" s="6" t="str">
        <x:v>Plant_ID</x:v>
      </x:c>
      <x:c r="C1" s="6" t="str">
        <x:v>Pharmacopoeia</x:v>
      </x:c>
      <x:c r="D1" s="6" t="str">
        <x:v>Monograph_Name</x:v>
      </x:c>
      <x:c r="E1" s="6" t="str">
        <x:v>Plant_Part</x:v>
      </x:c>
      <x:c r="F1" s="6" t="str">
        <x:v>Identification_Method</x:v>
      </x:c>
      <x:c r="G1" s="6" t="str">
        <x:v>Assay_Method</x:v>
      </x:c>
      <x:c r="H1" s="6" t="str">
        <x:v>Marker</x:v>
      </x:c>
      <x:c r="I1" s="6" t="str">
        <x:v>Limits</x:v>
      </x:c>
      <x:c r="J1" s="6" t="str">
        <x:v>Status</x:v>
      </x:c>
      <x:c r="K1" s="6" t="str">
        <x:v>Citation_ID</x:v>
      </x:c>
      <x:c r="L1" s="6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5247c20eb12c42c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5" hidden="0" customWidth="1"/>
    <x:col min="3" max="3" width="14.5" hidden="0" customWidth="1"/>
    <x:col min="4" max="4" width="10.25" hidden="0" customWidth="1"/>
    <x:col min="5" max="5" width="9.130000114440918" hidden="0" customWidth="1"/>
    <x:col min="6" max="6" width="16.6299991607666" hidden="0" customWidth="1"/>
    <x:col min="7" max="7" width="13.5" hidden="0" customWidth="1"/>
    <x:col min="8" max="8" width="8" hidden="0" customWidth="1"/>
    <x:col min="9" max="9" width="12.75" hidden="0" customWidth="1"/>
    <x:col min="10" max="10" width="12.380000114440918" hidden="0" customWidth="1"/>
    <x:col min="11" max="11" width="14.130000114440918" hidden="0" customWidth="1"/>
    <x:col min="12" max="12" width="6.130000114440918" hidden="0" customWidth="1"/>
    <x:col min="13" max="13" width="7.5" hidden="0" customWidth="1"/>
  </x:cols>
  <x:sheetData>
    <x:row r="1" ht="30" customHeight="1">
      <x:c r="A1" s="6" t="str">
        <x:v>Market_Product_ID</x:v>
      </x:c>
      <x:c r="B1" s="6" t="str">
        <x:v>Plant_ID</x:v>
      </x:c>
      <x:c r="C1" s="6" t="str">
        <x:v>Product_Name</x:v>
      </x:c>
      <x:c r="D1" s="6" t="str">
        <x:v>Company</x:v>
      </x:c>
      <x:c r="E1" s="6" t="str">
        <x:v>Country</x:v>
      </x:c>
      <x:c r="F1" s="6" t="str">
        <x:v>Product_Category</x:v>
      </x:c>
      <x:c r="G1" s="6" t="str">
        <x:v>Dosage_Form</x:v>
      </x:c>
      <x:c r="H1" s="6" t="str">
        <x:v>Claims</x:v>
      </x:c>
      <x:c r="I1" s="6" t="str">
        <x:v>Composition</x:v>
      </x:c>
      <x:c r="J1" s="6" t="str">
        <x:v>Price_Range</x:v>
      </x:c>
      <x:c r="K1" s="6" t="str">
        <x:v>Launch_Status</x:v>
      </x:c>
      <x:c r="L1" s="6" t="str">
        <x:v>URL</x:v>
      </x:c>
      <x:c r="M1" s="6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77666771be70461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9.5" hidden="0" customWidth="1"/>
    <x:col min="3" max="3" width="9.130000114440918" hidden="0" customWidth="1"/>
    <x:col min="4" max="4" width="11.5" hidden="0" customWidth="1"/>
    <x:col min="5" max="5" width="18.5" hidden="0" customWidth="1"/>
    <x:col min="6" max="6" width="18.6299991607666" hidden="0" customWidth="1"/>
    <x:col min="7" max="7" width="16.3799991607666" hidden="0" customWidth="1"/>
    <x:col min="8" max="8" width="10.380000114440918" hidden="0" customWidth="1"/>
    <x:col min="9" max="9" width="9.75" hidden="0" customWidth="1"/>
    <x:col min="10" max="10" width="10" hidden="0" customWidth="1"/>
    <x:col min="11" max="11" width="9.880000114440918" hidden="0" customWidth="1"/>
    <x:col min="12" max="12" width="13.25" hidden="0" customWidth="1"/>
    <x:col min="13" max="13" width="7.5" hidden="0" customWidth="1"/>
  </x:cols>
  <x:sheetData>
    <x:row r="1" ht="30" customHeight="1">
      <x:c r="A1" s="6" t="str">
        <x:v>Analytical_ID</x:v>
      </x:c>
      <x:c r="B1" s="6" t="str">
        <x:v>Plant_ID</x:v>
      </x:c>
      <x:c r="C1" s="6" t="str">
        <x:v>Method</x:v>
      </x:c>
      <x:c r="D1" s="6" t="str">
        <x:v>Instrument</x:v>
      </x:c>
      <x:c r="E1" s="6" t="str">
        <x:v>Sample_Preparation</x:v>
      </x:c>
      <x:c r="F1" s="6" t="str">
        <x:v>Marker_Compounds</x:v>
      </x:c>
      <x:c r="G1" s="6" t="str">
        <x:v>Validation_Status</x:v>
      </x:c>
      <x:c r="H1" s="6" t="str">
        <x:v>LOD_LOQ</x:v>
      </x:c>
      <x:c r="I1" s="6" t="str">
        <x:v>Linearity</x:v>
      </x:c>
      <x:c r="J1" s="6" t="str">
        <x:v>Precision</x:v>
      </x:c>
      <x:c r="K1" s="6" t="str">
        <x:v>Accuracy</x:v>
      </x:c>
      <x:c r="L1" s="6" t="str">
        <x:v>Reference_ID</x:v>
      </x:c>
      <x:c r="M1" s="6" t="str">
        <x:v>Notes</x:v>
      </x:c>
    </x:row>
  </x:sheetData>
  <x:pageMargins left="0.7" right="0.7" top="0.75" bottom="0.75" header="0.3" footer="0.3"/>
  <x:tableParts count="1">
    <x:tablePart xmlns:r="http://schemas.openxmlformats.org/officeDocument/2006/relationships" r:id="R31627948a412493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.880000114440918" hidden="0" customWidth="1"/>
    <x:col min="3" max="3" width="15" hidden="0" customWidth="1"/>
    <x:col min="4" max="4" width="15.630000114440918" hidden="0" customWidth="1"/>
    <x:col min="5" max="5" width="7.25" hidden="0" customWidth="1"/>
    <x:col min="6" max="6" width="8.75" hidden="0" customWidth="1"/>
    <x:col min="7" max="7" width="46.130001068115234" hidden="0" customWidth="1"/>
    <x:col min="8" max="8" width="7.75" hidden="0" customWidth="1"/>
  </x:cols>
  <x:sheetData>
    <x:row r="1" ht="30" customHeight="1">
      <x:c r="A1" s="6" t="str">
        <x:v>Rule_ID</x:v>
      </x:c>
      <x:c r="B1" s="6" t="str">
        <x:v>Domain</x:v>
      </x:c>
      <x:c r="C1" s="6" t="str">
        <x:v>Condition_Field</x:v>
      </x:c>
      <x:c r="D1" s="6" t="str">
        <x:v>Condition_Value</x:v>
      </x:c>
      <x:c r="E1" s="6" t="str">
        <x:v>Score</x:v>
      </x:c>
      <x:c r="F1" s="6" t="str">
        <x:v>Penalty</x:v>
      </x:c>
      <x:c r="G1" s="6" t="str">
        <x:v>Rationale</x:v>
      </x:c>
      <x:c r="H1" s="6" t="str">
        <x:v>Active</x:v>
      </x:c>
    </x:row>
    <x:row r="2">
      <x:c r="A2" s="14" t="str">
        <x:v>DR001</x:v>
      </x:c>
      <x:c r="B2" s="14" t="str">
        <x:v>Regulatory</x:v>
      </x:c>
      <x:c r="C2" s="14" t="str">
        <x:v>EMA_Status</x:v>
      </x:c>
      <x:c r="D2" s="14" t="str">
        <x:v>Yes</x:v>
      </x:c>
      <x:c r="E2" s="14" t="n">
        <x:v>20</x:v>
      </x:c>
      <x:c r="F2" s="14" t="n">
        <x:v>0</x:v>
      </x:c>
      <x:c r="G2" s="14" t="str">
        <x:v>EMA/HMPC support is highly relevant for EU decision-making</x:v>
      </x:c>
      <x:c r="H2" s="20" t="b">
        <x:v>1</x:v>
      </x:c>
    </x:row>
    <x:row r="3">
      <x:c r="A3" s="14" t="str">
        <x:v>DR002</x:v>
      </x:c>
      <x:c r="B3" s="14" t="str">
        <x:v>Regulatory</x:v>
      </x:c>
      <x:c r="C3" s="14" t="str">
        <x:v>WHO_Status</x:v>
      </x:c>
      <x:c r="D3" s="14" t="str">
        <x:v>Yes</x:v>
      </x:c>
      <x:c r="E3" s="14" t="n">
        <x:v>15</x:v>
      </x:c>
      <x:c r="F3" s="14" t="n">
        <x:v>0</x:v>
      </x:c>
      <x:c r="G3" s="14" t="str">
        <x:v>WHO monograph support strengthens evidence</x:v>
      </x:c>
      <x:c r="H3" s="20" t="b">
        <x:v>1</x:v>
      </x:c>
    </x:row>
    <x:row r="4">
      <x:c r="A4" s="14" t="str">
        <x:v>DR003</x:v>
      </x:c>
      <x:c r="B4" s="14" t="str">
        <x:v>Regulatory</x:v>
      </x:c>
      <x:c r="C4" s="14" t="str">
        <x:v>ESCOP_Status</x:v>
      </x:c>
      <x:c r="D4" s="14" t="str">
        <x:v>Yes</x:v>
      </x:c>
      <x:c r="E4" s="14" t="n">
        <x:v>15</x:v>
      </x:c>
      <x:c r="F4" s="14" t="n">
        <x:v>0</x:v>
      </x:c>
      <x:c r="G4" s="14" t="str">
        <x:v>ESCOP support strengthens EU scientific confidence</x:v>
      </x:c>
      <x:c r="H4" s="20" t="b">
        <x:v>1</x:v>
      </x:c>
    </x:row>
    <x:row r="5">
      <x:c r="A5" s="14" t="str">
        <x:v>DR004</x:v>
      </x:c>
      <x:c r="B5" s="14" t="str">
        <x:v>Clinical</x:v>
      </x:c>
      <x:c r="C5" s="14" t="str">
        <x:v>Clinical_Level</x:v>
      </x:c>
      <x:c r="D5" s="14" t="str">
        <x:v>Strong</x:v>
      </x:c>
      <x:c r="E5" s="14" t="n">
        <x:v>20</x:v>
      </x:c>
      <x:c r="F5" s="14" t="n">
        <x:v>0</x:v>
      </x:c>
      <x:c r="G5" s="14" t="str">
        <x:v>Strong human clinical evidence</x:v>
      </x:c>
      <x:c r="H5" s="20" t="b">
        <x:v>1</x:v>
      </x:c>
    </x:row>
    <x:row r="6">
      <x:c r="A6" s="14" t="str">
        <x:v>DR005</x:v>
      </x:c>
      <x:c r="B6" s="14" t="str">
        <x:v>Clinical</x:v>
      </x:c>
      <x:c r="C6" s="14" t="str">
        <x:v>Clinical_Level</x:v>
      </x:c>
      <x:c r="D6" s="14" t="str">
        <x:v>Moderate</x:v>
      </x:c>
      <x:c r="E6" s="14" t="n">
        <x:v>15</x:v>
      </x:c>
      <x:c r="F6" s="14" t="n">
        <x:v>0</x:v>
      </x:c>
      <x:c r="G6" s="14" t="str">
        <x:v>Moderate human clinical evidence</x:v>
      </x:c>
      <x:c r="H6" s="20" t="b">
        <x:v>1</x:v>
      </x:c>
    </x:row>
    <x:row r="7">
      <x:c r="A7" s="14" t="str">
        <x:v>DR006</x:v>
      </x:c>
      <x:c r="B7" s="14" t="str">
        <x:v>Clinical</x:v>
      </x:c>
      <x:c r="C7" s="14" t="str">
        <x:v>Clinical_Level</x:v>
      </x:c>
      <x:c r="D7" s="14" t="str">
        <x:v>Weak</x:v>
      </x:c>
      <x:c r="E7" s="14" t="n">
        <x:v>8</x:v>
      </x:c>
      <x:c r="F7" s="14" t="n">
        <x:v>0</x:v>
      </x:c>
      <x:c r="G7" s="14" t="str">
        <x:v>Weak but present human evidence</x:v>
      </x:c>
      <x:c r="H7" s="20" t="b">
        <x:v>1</x:v>
      </x:c>
    </x:row>
    <x:row r="8">
      <x:c r="A8" s="14" t="str">
        <x:v>DR007</x:v>
      </x:c>
      <x:c r="B8" s="14" t="str">
        <x:v>Meta-analysis</x:v>
      </x:c>
      <x:c r="C8" s="14" t="str">
        <x:v>Meta_Level</x:v>
      </x:c>
      <x:c r="D8" s="14" t="str">
        <x:v>Strong</x:v>
      </x:c>
      <x:c r="E8" s="14" t="n">
        <x:v>10</x:v>
      </x:c>
      <x:c r="F8" s="14" t="n">
        <x:v>0</x:v>
      </x:c>
      <x:c r="G8" s="14" t="str">
        <x:v>Strong meta-analysis support</x:v>
      </x:c>
      <x:c r="H8" s="20" t="b">
        <x:v>1</x:v>
      </x:c>
    </x:row>
    <x:row r="9">
      <x:c r="A9" s="14" t="str">
        <x:v>DR008</x:v>
      </x:c>
      <x:c r="B9" s="14" t="str">
        <x:v>Meta-analysis</x:v>
      </x:c>
      <x:c r="C9" s="14" t="str">
        <x:v>Meta_Level</x:v>
      </x:c>
      <x:c r="D9" s="14" t="str">
        <x:v>Moderate</x:v>
      </x:c>
      <x:c r="E9" s="14" t="n">
        <x:v>6</x:v>
      </x:c>
      <x:c r="F9" s="14" t="n">
        <x:v>0</x:v>
      </x:c>
      <x:c r="G9" s="14" t="str">
        <x:v>Moderate meta-analysis support</x:v>
      </x:c>
      <x:c r="H9" s="20" t="b">
        <x:v>1</x:v>
      </x:c>
    </x:row>
    <x:row r="10">
      <x:c r="A10" s="14" t="str">
        <x:v>DR009</x:v>
      </x:c>
      <x:c r="B10" s="14" t="str">
        <x:v>Dosage-form</x:v>
      </x:c>
      <x:c r="C10" s="14" t="str">
        <x:v>Infusion_Evidence</x:v>
      </x:c>
      <x:c r="D10" s="14" t="str">
        <x:v>Direct</x:v>
      </x:c>
      <x:c r="E10" s="14" t="n">
        <x:v>10</x:v>
      </x:c>
      <x:c r="F10" s="14" t="n">
        <x:v>0</x:v>
      </x:c>
      <x:c r="G10" s="14" t="str">
        <x:v>Direct evidence for target dosage form</x:v>
      </x:c>
      <x:c r="H10" s="20" t="b">
        <x:v>1</x:v>
      </x:c>
    </x:row>
    <x:row r="11">
      <x:c r="A11" s="14" t="str">
        <x:v>DR010</x:v>
      </x:c>
      <x:c r="B11" s="14" t="str">
        <x:v>Dosage-form</x:v>
      </x:c>
      <x:c r="C11" s="14" t="str">
        <x:v>Infusion_Evidence</x:v>
      </x:c>
      <x:c r="D11" s="14" t="str">
        <x:v>Indirect</x:v>
      </x:c>
      <x:c r="E11" s="14" t="n">
        <x:v>5</x:v>
      </x:c>
      <x:c r="F11" s="14" t="n">
        <x:v>0</x:v>
      </x:c>
      <x:c r="G11" s="14" t="str">
        <x:v>Indirect evidence only</x:v>
      </x:c>
      <x:c r="H11" s="20" t="b">
        <x:v>1</x:v>
      </x:c>
    </x:row>
    <x:row r="12">
      <x:c r="A12" s="14" t="str">
        <x:v>DR011</x:v>
      </x:c>
      <x:c r="B12" s="14" t="str">
        <x:v>Safety</x:v>
      </x:c>
      <x:c r="C12" s="14" t="str">
        <x:v>Safety_Level</x:v>
      </x:c>
      <x:c r="D12" s="14" t="str">
        <x:v>Good</x:v>
      </x:c>
      <x:c r="E12" s="14" t="n">
        <x:v>5</x:v>
      </x:c>
      <x:c r="F12" s="14" t="n">
        <x:v>0</x:v>
      </x:c>
      <x:c r="G12" s="14" t="str">
        <x:v>Good safety profile</x:v>
      </x:c>
      <x:c r="H12" s="20" t="b">
        <x:v>1</x:v>
      </x:c>
    </x:row>
    <x:row r="13">
      <x:c r="A13" s="14" t="str">
        <x:v>DR012</x:v>
      </x:c>
      <x:c r="B13" s="14" t="str">
        <x:v>Safety</x:v>
      </x:c>
      <x:c r="C13" s="14" t="str">
        <x:v>Safety_Level</x:v>
      </x:c>
      <x:c r="D13" s="14" t="str">
        <x:v>Acceptable</x:v>
      </x:c>
      <x:c r="E13" s="14" t="n">
        <x:v>3</x:v>
      </x:c>
      <x:c r="F13" s="14" t="n">
        <x:v>0</x:v>
      </x:c>
      <x:c r="G13" s="14" t="str">
        <x:v>Acceptable safety with cautions</x:v>
      </x:c>
      <x:c r="H13" s="20" t="b">
        <x:v>1</x:v>
      </x:c>
    </x:row>
    <x:row r="14">
      <x:c r="A14" s="14" t="str">
        <x:v>DR013</x:v>
      </x:c>
      <x:c r="B14" s="14" t="str">
        <x:v>Commercial</x:v>
      </x:c>
      <x:c r="C14" s="14" t="str">
        <x:v>Commercial_Level</x:v>
      </x:c>
      <x:c r="D14" s="14" t="str">
        <x:v>High</x:v>
      </x:c>
      <x:c r="E14" s="14" t="n">
        <x:v>5</x:v>
      </x:c>
      <x:c r="F14" s="14" t="n">
        <x:v>0</x:v>
      </x:c>
      <x:c r="G14" s="14" t="str">
        <x:v>Strong commercial potential</x:v>
      </x:c>
      <x:c r="H14" s="20" t="b">
        <x:v>1</x:v>
      </x:c>
    </x:row>
    <x:row r="15">
      <x:c r="A15" s="14" t="str">
        <x:v>DR014</x:v>
      </x:c>
      <x:c r="B15" s="14" t="str">
        <x:v>Commercial</x:v>
      </x:c>
      <x:c r="C15" s="14" t="str">
        <x:v>Commercial_Level</x:v>
      </x:c>
      <x:c r="D15" s="14" t="str">
        <x:v>Medium</x:v>
      </x:c>
      <x:c r="E15" s="14" t="n">
        <x:v>3</x:v>
      </x:c>
      <x:c r="F15" s="14" t="n">
        <x:v>0</x:v>
      </x:c>
      <x:c r="G15" s="14" t="str">
        <x:v>Moderate commercial potential</x:v>
      </x:c>
      <x:c r="H15" s="20" t="b">
        <x:v>1</x:v>
      </x:c>
    </x:row>
    <x:row r="16">
      <x:c r="A16" s="14" t="str">
        <x:v>DR015</x:v>
      </x:c>
      <x:c r="B16" s="14" t="str">
        <x:v>Risk</x:v>
      </x:c>
      <x:c r="C16" s="14" t="str">
        <x:v>Novel_Food_Status</x:v>
      </x:c>
      <x:c r="D16" s="14" t="str">
        <x:v>Yes</x:v>
      </x:c>
      <x:c r="E16" s="14" t="n">
        <x:v>0</x:v>
      </x:c>
      <x:c r="F16" s="14" t="n">
        <x:v>20</x:v>
      </x:c>
      <x:c r="G16" s="14" t="str">
        <x:v>Novel food uncertainty may block development</x:v>
      </x:c>
      <x:c r="H16" s="20" t="b">
        <x:v>1</x:v>
      </x:c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14"/>
      <x:c r="B28" s="14"/>
      <x:c r="C28" s="14"/>
      <x:c r="D28" s="14"/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4"/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/>
      <x:c r="B33" s="14"/>
      <x:c r="C33" s="14"/>
      <x:c r="D33" s="14"/>
      <x:c r="E33" s="14"/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  <x:row r="36">
      <x:c r="A36" s="14"/>
      <x:c r="B36" s="14"/>
      <x:c r="C36" s="14"/>
      <x:c r="D36" s="14"/>
      <x:c r="E36" s="14"/>
      <x:c r="F36" s="14"/>
      <x:c r="G36" s="14"/>
      <x:c r="H36" s="14"/>
    </x:row>
    <x:row r="37">
      <x:c r="A37" s="14"/>
      <x:c r="B37" s="14"/>
      <x:c r="C37" s="14"/>
      <x:c r="D37" s="14"/>
      <x:c r="E37" s="14"/>
      <x:c r="F37" s="14"/>
      <x:c r="G37" s="14"/>
      <x:c r="H37" s="14"/>
    </x:row>
    <x:row r="38">
      <x:c r="A38" s="14"/>
      <x:c r="B38" s="14"/>
      <x:c r="C38" s="14"/>
      <x:c r="D38" s="14"/>
      <x:c r="E38" s="14"/>
      <x:c r="F38" s="14"/>
      <x:c r="G38" s="14"/>
      <x:c r="H38" s="14"/>
    </x:row>
    <x:row r="39">
      <x:c r="A39" s="14"/>
      <x:c r="B39" s="14"/>
      <x:c r="C39" s="14"/>
      <x:c r="D39" s="14"/>
      <x:c r="E39" s="14"/>
      <x:c r="F39" s="14"/>
      <x:c r="G39" s="14"/>
      <x:c r="H39" s="14"/>
    </x:row>
    <x:row r="40">
      <x:c r="A40" s="14"/>
      <x:c r="B40" s="14"/>
      <x:c r="C40" s="14"/>
      <x:c r="D40" s="14"/>
      <x:c r="E40" s="14"/>
      <x:c r="F40" s="14"/>
      <x:c r="G40" s="14"/>
      <x:c r="H40" s="14"/>
    </x:row>
    <x:row r="41">
      <x:c r="A41" s="14"/>
      <x:c r="B41" s="14"/>
      <x:c r="C41" s="14"/>
      <x:c r="D41" s="14"/>
      <x:c r="E41" s="14"/>
      <x:c r="F41" s="14"/>
      <x:c r="G41" s="14"/>
      <x:c r="H41" s="14"/>
    </x:row>
    <x:row r="42">
      <x:c r="A42" s="14"/>
      <x:c r="B42" s="14"/>
      <x:c r="C42" s="14"/>
      <x:c r="D42" s="14"/>
      <x:c r="E42" s="14"/>
      <x:c r="F42" s="14"/>
      <x:c r="G42" s="14"/>
      <x:c r="H42" s="14"/>
    </x:row>
    <x:row r="43">
      <x:c r="A43" s="14"/>
      <x:c r="B43" s="14"/>
      <x:c r="C43" s="14"/>
      <x:c r="D43" s="14"/>
      <x:c r="E43" s="14"/>
      <x:c r="F43" s="14"/>
      <x:c r="G43" s="14"/>
      <x:c r="H43" s="14"/>
    </x:row>
    <x:row r="44">
      <x:c r="A44" s="14"/>
      <x:c r="B44" s="14"/>
      <x:c r="C44" s="14"/>
      <x:c r="D44" s="14"/>
      <x:c r="E44" s="14"/>
      <x:c r="F44" s="14"/>
      <x:c r="G44" s="14"/>
      <x:c r="H44" s="14"/>
    </x:row>
    <x:row r="45">
      <x:c r="A45" s="14"/>
      <x:c r="B45" s="14"/>
      <x:c r="C45" s="14"/>
      <x:c r="D45" s="14"/>
      <x:c r="E45" s="14"/>
      <x:c r="F45" s="14"/>
      <x:c r="G45" s="14"/>
      <x:c r="H45" s="14"/>
    </x:row>
    <x:row r="46">
      <x:c r="A46" s="14"/>
      <x:c r="B46" s="14"/>
      <x:c r="C46" s="14"/>
      <x:c r="D46" s="14"/>
      <x:c r="E46" s="14"/>
      <x:c r="F46" s="14"/>
      <x:c r="G46" s="14"/>
      <x:c r="H46" s="14"/>
    </x:row>
    <x:row r="47">
      <x:c r="A47" s="14"/>
      <x:c r="B47" s="14"/>
      <x:c r="C47" s="14"/>
      <x:c r="D47" s="14"/>
      <x:c r="E47" s="14"/>
      <x:c r="F47" s="14"/>
      <x:c r="G47" s="14"/>
      <x:c r="H47" s="14"/>
    </x:row>
    <x:row r="48">
      <x:c r="A48" s="14"/>
      <x:c r="B48" s="14"/>
      <x:c r="C48" s="14"/>
      <x:c r="D48" s="14"/>
      <x:c r="E48" s="14"/>
      <x:c r="F48" s="14"/>
      <x:c r="G48" s="14"/>
      <x:c r="H48" s="14"/>
    </x:row>
    <x:row r="49">
      <x:c r="A49" s="14"/>
      <x:c r="B49" s="14"/>
      <x:c r="C49" s="14"/>
      <x:c r="D49" s="14"/>
      <x:c r="E49" s="14"/>
      <x:c r="F49" s="14"/>
      <x:c r="G49" s="14"/>
      <x:c r="H49" s="14"/>
    </x:row>
    <x:row r="50">
      <x:c r="A50" s="14"/>
      <x:c r="B50" s="14"/>
      <x:c r="C50" s="14"/>
      <x:c r="D50" s="14"/>
      <x:c r="E50" s="14"/>
      <x:c r="F50" s="14"/>
      <x:c r="G50" s="14"/>
      <x:c r="H50" s="14"/>
    </x:row>
  </x:sheetData>
  <x:conditionalFormatting sqref="E2:F100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{2C2ADFFF-C67A-86F9-8061-032EB739FA5B}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2b8bce7d8e14a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C2ADFFF-C67A-86F9-8061-032EB739FA5B}">
            <x14:dataBar gradient="1">
              <x14:cfvo type="min"/>
              <x14:cfvo type="max"/>
              <x14:fillColor rgb="FF0F766E"/>
            </x14:dataBar>
          </x14:cfRule>
          <xm:sqref>E2:F100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2.5" hidden="0" customWidth="1"/>
    <x:col min="3" max="3" width="12.380000114440918" hidden="0" customWidth="1"/>
    <x:col min="4" max="4" width="9.5" hidden="0" customWidth="1"/>
    <x:col min="5" max="5" width="23.75" hidden="0" customWidth="1"/>
    <x:col min="6" max="6" width="21.6299991607666" hidden="0" customWidth="1"/>
    <x:col min="7" max="7" width="11.75" hidden="0" customWidth="1"/>
    <x:col min="8" max="8" width="14.25" hidden="0" customWidth="1"/>
    <x:col min="9" max="9" width="6.880000114440918" hidden="0" customWidth="1"/>
    <x:col min="10" max="10" width="16.6299991607666" hidden="0" customWidth="1"/>
    <x:col min="11" max="11" width="17.75" hidden="0" customWidth="1"/>
    <x:col min="12" max="12" width="15.5" hidden="0" customWidth="1"/>
    <x:col min="13" max="13" width="13.630000114440918" hidden="0" customWidth="1"/>
  </x:cols>
  <x:sheetData>
    <x:row r="1" ht="30" customHeight="1">
      <x:c r="A1" s="6" t="str">
        <x:v>Output_ID</x:v>
      </x:c>
      <x:c r="B1" s="6" t="str">
        <x:v>Question_ID</x:v>
      </x:c>
      <x:c r="C1" s="6" t="str">
        <x:v>Evidence_ID</x:v>
      </x:c>
      <x:c r="D1" s="6" t="str">
        <x:v>Plant_ID</x:v>
      </x:c>
      <x:c r="E1" s="6" t="str">
        <x:v>Computed_Evidence_Score</x:v>
      </x:c>
      <x:c r="F1" s="6" t="str">
        <x:v>Computed_Risk_Penalty</x:v>
      </x:c>
      <x:c r="G1" s="6" t="str">
        <x:v>Final_Score</x:v>
      </x:c>
      <x:c r="H1" s="6" t="str">
        <x:v>Decision_Class</x:v>
      </x:c>
      <x:c r="I1" s="6" t="str">
        <x:v>Rank</x:v>
      </x:c>
      <x:c r="J1" s="6" t="str">
        <x:v>Auto_Explanation</x:v>
      </x:c>
      <x:c r="K1" s="6" t="str">
        <x:v>Reviewer_Override</x:v>
      </x:c>
      <x:c r="L1" s="6" t="str">
        <x:v>Reviewer_Notes</x:v>
      </x:c>
      <x:c r="M1" s="6" t="str">
        <x:v>Generated_At</x:v>
      </x:c>
    </x:row>
  </x:sheetData>
  <x:pageMargins left="0.7" right="0.7" top="0.75" bottom="0.75" header="0.3" footer="0.3"/>
  <x:tableParts count="1">
    <x:tablePart xmlns:r="http://schemas.openxmlformats.org/officeDocument/2006/relationships" r:id="Re51732e02dbe44e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4.5" hidden="0" customWidth="1"/>
    <x:col min="3" max="3" width="7.5" hidden="0" customWidth="1"/>
  </x:cols>
  <x:sheetData>
    <x:row r="1" ht="30" customHeight="1">
      <x:c r="A1" s="6" t="str">
        <x:v>List_Name</x:v>
      </x:c>
      <x:c r="B1" s="6" t="str">
        <x:v>Allowed_Value</x:v>
      </x:c>
      <x:c r="C1" s="6" t="str">
        <x:v>Notes</x:v>
      </x:c>
    </x:row>
    <x:row r="2">
      <x:c r="A2" s="14" t="str">
        <x:v>Product_Type</x:v>
      </x:c>
      <x:c r="B2" s="14" t="str">
        <x:v>Herbal product</x:v>
      </x:c>
      <x:c r="C2" s="14" t="str"/>
    </x:row>
    <x:row r="3">
      <x:c r="A3" s="14" t="str">
        <x:v>Product_Type</x:v>
      </x:c>
      <x:c r="B3" s="14" t="str">
        <x:v>Food supplement</x:v>
      </x:c>
      <x:c r="C3" s="14" t="str"/>
    </x:row>
    <x:row r="4">
      <x:c r="A4" s="14" t="str">
        <x:v>Product_Type</x:v>
      </x:c>
      <x:c r="B4" s="14" t="str">
        <x:v>Cosmetic</x:v>
      </x:c>
      <x:c r="C4" s="14" t="str"/>
    </x:row>
    <x:row r="5">
      <x:c r="A5" s="14" t="str">
        <x:v>Product_Type</x:v>
      </x:c>
      <x:c r="B5" s="14" t="str">
        <x:v>Medical device</x:v>
      </x:c>
      <x:c r="C5" s="14" t="str"/>
    </x:row>
    <x:row r="6">
      <x:c r="A6" s="14" t="str">
        <x:v>Product_Type</x:v>
      </x:c>
      <x:c r="B6" s="14" t="str">
        <x:v>Veterinary product</x:v>
      </x:c>
      <x:c r="C6" s="14" t="str"/>
    </x:row>
    <x:row r="7">
      <x:c r="A7" s="14" t="str">
        <x:v>Dosage_Form</x:v>
      </x:c>
      <x:c r="B7" s="14" t="str">
        <x:v>Infusion</x:v>
      </x:c>
      <x:c r="C7" s="14" t="str"/>
    </x:row>
    <x:row r="8">
      <x:c r="A8" s="14" t="str">
        <x:v>Dosage_Form</x:v>
      </x:c>
      <x:c r="B8" s="14" t="str">
        <x:v>Capsule</x:v>
      </x:c>
      <x:c r="C8" s="14" t="str"/>
    </x:row>
    <x:row r="9">
      <x:c r="A9" s="14" t="str">
        <x:v>Dosage_Form</x:v>
      </x:c>
      <x:c r="B9" s="14" t="str">
        <x:v>Tablet</x:v>
      </x:c>
      <x:c r="C9" s="14" t="str"/>
    </x:row>
    <x:row r="10">
      <x:c r="A10" s="14" t="str">
        <x:v>Dosage_Form</x:v>
      </x:c>
      <x:c r="B10" s="14" t="str">
        <x:v>Cream</x:v>
      </x:c>
      <x:c r="C10" s="14" t="str"/>
    </x:row>
    <x:row r="11">
      <x:c r="A11" s="14" t="str">
        <x:v>Dosage_Form</x:v>
      </x:c>
      <x:c r="B11" s="14" t="str">
        <x:v>Gel</x:v>
      </x:c>
      <x:c r="C11" s="14" t="str"/>
    </x:row>
    <x:row r="12">
      <x:c r="A12" s="14" t="str">
        <x:v>Dosage_Form</x:v>
      </x:c>
      <x:c r="B12" s="14" t="str">
        <x:v>Syrup</x:v>
      </x:c>
      <x:c r="C12" s="14" t="str"/>
    </x:row>
    <x:row r="13">
      <x:c r="A13" s="14" t="str">
        <x:v>Dosage_Form</x:v>
      </x:c>
      <x:c r="B13" s="14" t="str">
        <x:v>Chewing gum</x:v>
      </x:c>
      <x:c r="C13" s="14" t="str"/>
    </x:row>
    <x:row r="14">
      <x:c r="A14" s="14" t="str">
        <x:v>Dosage_Form</x:v>
      </x:c>
      <x:c r="B14" s="14" t="str">
        <x:v>Nasal spray</x:v>
      </x:c>
      <x:c r="C14" s="14" t="str"/>
    </x:row>
    <x:row r="15">
      <x:c r="A15" s="14" t="str">
        <x:v>Target_Market</x:v>
      </x:c>
      <x:c r="B15" s="14" t="str">
        <x:v>European Union</x:v>
      </x:c>
      <x:c r="C15" s="14" t="str"/>
    </x:row>
    <x:row r="16">
      <x:c r="A16" s="14" t="str">
        <x:v>Target_Market</x:v>
      </x:c>
      <x:c r="B16" s="14" t="str">
        <x:v>France</x:v>
      </x:c>
      <x:c r="C16" s="14" t="str"/>
    </x:row>
    <x:row r="17">
      <x:c r="A17" s="14" t="str">
        <x:v>Target_Market</x:v>
      </x:c>
      <x:c r="B17" s="14" t="str">
        <x:v>United States</x:v>
      </x:c>
      <x:c r="C17" s="14" t="str"/>
    </x:row>
    <x:row r="18">
      <x:c r="A18" s="14" t="str">
        <x:v>Target_Market</x:v>
      </x:c>
      <x:c r="B18" s="14" t="str">
        <x:v>Canada</x:v>
      </x:c>
      <x:c r="C18" s="14" t="str"/>
    </x:row>
    <x:row r="19">
      <x:c r="A19" s="14" t="str">
        <x:v>Target_Market</x:v>
      </x:c>
      <x:c r="B19" s="14" t="str">
        <x:v>Iran</x:v>
      </x:c>
      <x:c r="C19" s="14" t="str"/>
    </x:row>
    <x:row r="20">
      <x:c r="A20" s="14" t="str">
        <x:v>Target_Market</x:v>
      </x:c>
      <x:c r="B20" s="14" t="str">
        <x:v>United Kingdom</x:v>
      </x:c>
      <x:c r="C20" s="14" t="str"/>
    </x:row>
    <x:row r="21">
      <x:c r="A21" s="14" t="str">
        <x:v>Target_Market</x:v>
      </x:c>
      <x:c r="B21" s="14" t="str">
        <x:v>Australia</x:v>
      </x:c>
      <x:c r="C21" s="14" t="str"/>
    </x:row>
    <x:row r="22">
      <x:c r="A22" s="14" t="str">
        <x:v>Evidence_Level</x:v>
      </x:c>
      <x:c r="B22" s="14" t="str">
        <x:v>None</x:v>
      </x:c>
      <x:c r="C22" s="14" t="str"/>
    </x:row>
    <x:row r="23">
      <x:c r="A23" s="14" t="str">
        <x:v>Evidence_Level</x:v>
      </x:c>
      <x:c r="B23" s="14" t="str">
        <x:v>Weak</x:v>
      </x:c>
      <x:c r="C23" s="14" t="str"/>
    </x:row>
    <x:row r="24">
      <x:c r="A24" s="14" t="str">
        <x:v>Evidence_Level</x:v>
      </x:c>
      <x:c r="B24" s="14" t="str">
        <x:v>Moderate</x:v>
      </x:c>
      <x:c r="C24" s="14" t="str"/>
    </x:row>
    <x:row r="25">
      <x:c r="A25" s="14" t="str">
        <x:v>Evidence_Level</x:v>
      </x:c>
      <x:c r="B25" s="14" t="str">
        <x:v>Strong</x:v>
      </x:c>
      <x:c r="C25" s="14" t="str"/>
    </x:row>
    <x:row r="26">
      <x:c r="A26" s="14" t="str">
        <x:v>Evidence_Level</x:v>
      </x:c>
      <x:c r="B26" s="14" t="str">
        <x:v>To verify</x:v>
      </x:c>
      <x:c r="C26" s="14" t="str"/>
    </x:row>
    <x:row r="27">
      <x:c r="A27" s="14" t="str">
        <x:v>Yes_No_Verify</x:v>
      </x:c>
      <x:c r="B27" s="14" t="str">
        <x:v>Yes</x:v>
      </x:c>
      <x:c r="C27" s="14" t="str"/>
    </x:row>
    <x:row r="28">
      <x:c r="A28" s="14" t="str">
        <x:v>Yes_No_Verify</x:v>
      </x:c>
      <x:c r="B28" s="14" t="str">
        <x:v>No</x:v>
      </x:c>
      <x:c r="C28" s="14" t="str"/>
    </x:row>
    <x:row r="29">
      <x:c r="A29" s="14" t="str">
        <x:v>Yes_No_Verify</x:v>
      </x:c>
      <x:c r="B29" s="14" t="str">
        <x:v>To verify</x:v>
      </x:c>
      <x:c r="C29" s="14" t="str"/>
    </x:row>
    <x:row r="30">
      <x:c r="A30" s="14" t="str">
        <x:v>Safety_Level</x:v>
      </x:c>
      <x:c r="B30" s="14" t="str">
        <x:v>Good</x:v>
      </x:c>
      <x:c r="C30" s="14" t="str"/>
    </x:row>
    <x:row r="31">
      <x:c r="A31" s="14" t="str">
        <x:v>Safety_Level</x:v>
      </x:c>
      <x:c r="B31" s="14" t="str">
        <x:v>Acceptable</x:v>
      </x:c>
      <x:c r="C31" s="14" t="str"/>
    </x:row>
    <x:row r="32">
      <x:c r="A32" s="14" t="str">
        <x:v>Safety_Level</x:v>
      </x:c>
      <x:c r="B32" s="14" t="str">
        <x:v>Caution</x:v>
      </x:c>
      <x:c r="C32" s="14" t="str"/>
    </x:row>
    <x:row r="33">
      <x:c r="A33" s="14" t="str">
        <x:v>Safety_Level</x:v>
      </x:c>
      <x:c r="B33" s="14" t="str">
        <x:v>High risk</x:v>
      </x:c>
      <x:c r="C33" s="14" t="str"/>
    </x:row>
    <x:row r="34">
      <x:c r="A34" s="14" t="str">
        <x:v>Safety_Level</x:v>
      </x:c>
      <x:c r="B34" s="14" t="str">
        <x:v>To verify</x:v>
      </x:c>
      <x:c r="C34" s="14" t="str"/>
    </x:row>
    <x:row r="35">
      <x:c r="A35" s="14" t="str">
        <x:v>Commercial_Level</x:v>
      </x:c>
      <x:c r="B35" s="14" t="str">
        <x:v>Low</x:v>
      </x:c>
      <x:c r="C35" s="14" t="str"/>
    </x:row>
    <x:row r="36">
      <x:c r="A36" s="14" t="str">
        <x:v>Commercial_Level</x:v>
      </x:c>
      <x:c r="B36" s="14" t="str">
        <x:v>Medium</x:v>
      </x:c>
      <x:c r="C36" s="14" t="str"/>
    </x:row>
    <x:row r="37">
      <x:c r="A37" s="14" t="str">
        <x:v>Commercial_Level</x:v>
      </x:c>
      <x:c r="B37" s="14" t="str">
        <x:v>High</x:v>
      </x:c>
      <x:c r="C37" s="14" t="str"/>
    </x:row>
    <x:row r="38">
      <x:c r="A38" s="14" t="str">
        <x:v>Commercial_Level</x:v>
      </x:c>
      <x:c r="B38" s="14" t="str">
        <x:v>To verify</x:v>
      </x:c>
      <x:c r="C38" s="14" t="str"/>
    </x:row>
    <x:row r="39">
      <x:c r="A39" s="14" t="str">
        <x:v>Review_Status</x:v>
      </x:c>
      <x:c r="B39" s="14" t="str">
        <x:v>Draft</x:v>
      </x:c>
      <x:c r="C39" s="14" t="str"/>
    </x:row>
    <x:row r="40">
      <x:c r="A40" s="14" t="str">
        <x:v>Review_Status</x:v>
      </x:c>
      <x:c r="B40" s="14" t="str">
        <x:v>Reviewed</x:v>
      </x:c>
      <x:c r="C40" s="14" t="str"/>
    </x:row>
    <x:row r="41">
      <x:c r="A41" s="14" t="str">
        <x:v>Review_Status</x:v>
      </x:c>
      <x:c r="B41" s="14" t="str">
        <x:v>Validated</x:v>
      </x:c>
      <x:c r="C41" s="14" t="str"/>
    </x:row>
    <x:row r="42">
      <x:c r="A42" s="14" t="str">
        <x:v>Review_Status</x:v>
      </x:c>
      <x:c r="B42" s="14" t="str">
        <x:v>Rejected</x:v>
      </x:c>
      <x:c r="C42" s="14" t="str"/>
    </x:row>
    <x:row r="43">
      <x:c r="A43" s="14"/>
      <x:c r="B43" s="14"/>
      <x:c r="C43" s="14"/>
    </x:row>
    <x:row r="44">
      <x:c r="A44" s="14"/>
      <x:c r="B44" s="14"/>
      <x:c r="C44" s="14"/>
    </x:row>
    <x:row r="45">
      <x:c r="A45" s="14"/>
      <x:c r="B45" s="14"/>
      <x:c r="C45" s="14"/>
    </x:row>
    <x:row r="46">
      <x:c r="A46" s="14"/>
      <x:c r="B46" s="14"/>
      <x:c r="C46" s="14"/>
    </x:row>
    <x:row r="47">
      <x:c r="A47" s="14"/>
      <x:c r="B47" s="14"/>
      <x:c r="C47" s="14"/>
    </x:row>
    <x:row r="48">
      <x:c r="A48" s="14"/>
      <x:c r="B48" s="14"/>
      <x:c r="C48" s="14"/>
    </x:row>
    <x:row r="49">
      <x:c r="A49" s="14"/>
      <x:c r="B49" s="14"/>
      <x:c r="C49" s="14"/>
    </x:row>
    <x:row r="50">
      <x:c r="A50" s="14"/>
      <x:c r="B50" s="14"/>
      <x:c r="C50" s="14"/>
    </x:row>
  </x:sheetData>
  <x:pageMargins left="0.7" right="0.7" top="0.75" bottom="0.75" header="0.3" footer="0.3"/>
  <x:tableParts count="1">
    <x:tablePart xmlns:r="http://schemas.openxmlformats.org/officeDocument/2006/relationships" r:id="R836bf9b96e9249e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7.25" hidden="0" customWidth="1"/>
    <x:col min="3" max="3" width="18.75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Formula / Meaning</x:v>
      </x:c>
    </x:row>
    <x:row r="2">
      <x:c r="A2" s="14" t="str">
        <x:v>Plants</x:v>
      </x:c>
      <x:c r="B2" s="14" t="n">
        <x:f>COUNTA(Plants!A2:A1000)</x:f>
        <x:v>3</x:v>
      </x:c>
      <x:c r="C2" s="14" t="str">
        <x:v>Number of plant records</x:v>
      </x:c>
    </x:row>
    <x:row r="3">
      <x:c r="A3" s="14" t="str">
        <x:v>Evidence records</x:v>
      </x:c>
      <x:c r="B3" s="14" t="n">
        <x:f>COUNTA(Evidence_Records!A2:A1000)</x:f>
        <x:v>3</x:v>
      </x:c>
      <x:c r="C3" s="14" t="str">
        <x:v>Core evidence rows</x:v>
      </x:c>
    </x:row>
    <x:row r="4">
      <x:c r="A4" s="14" t="str">
        <x:v>References</x:v>
      </x:c>
      <x:c r="B4" s="14" t="n">
        <x:f>COUNTA(References!A2:A1000)</x:f>
        <x:v>3</x:v>
      </x:c>
      <x:c r="C4" s="14" t="str">
        <x:v>Source-level references</x:v>
      </x:c>
    </x:row>
    <x:row r="5">
      <x:c r="A5" s="14" t="str">
        <x:v>Draft records</x:v>
      </x:c>
      <x:c r="B5" s="14" t="n">
        <x:f>COUNTIF(Evidence_Records!AR2:AR1000,"Draft")</x:f>
        <x:v>0</x:v>
      </x:c>
      <x:c r="C5" s="14" t="str">
        <x:v>Records needing review</x:v>
      </x:c>
    </x:row>
    <x:row r="6">
      <x:c r="A6" s="14"/>
      <x:c r="B6" s="14"/>
      <x:c r="C6" s="14"/>
    </x:row>
    <x:row r="7">
      <x:c r="A7" s="14"/>
      <x:c r="B7" s="14"/>
      <x:c r="C7" s="14"/>
    </x:row>
    <x:row r="8">
      <x:c r="A8" s="14"/>
      <x:c r="B8" s="14"/>
      <x:c r="C8" s="14"/>
    </x:row>
    <x:row r="9">
      <x:c r="A9" s="14"/>
      <x:c r="B9" s="14"/>
      <x:c r="C9" s="14"/>
    </x:row>
    <x:row r="10">
      <x:c r="A10" s="14"/>
      <x:c r="B10" s="14"/>
      <x:c r="C10" s="14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  <x:row r="21">
      <x:c r="A21" s="14"/>
      <x:c r="B21" s="14"/>
      <x:c r="C21" s="14"/>
    </x:row>
    <x:row r="22">
      <x:c r="A22" s="14"/>
      <x:c r="B22" s="14"/>
      <x:c r="C22" s="14"/>
    </x:row>
    <x:row r="23">
      <x:c r="A23" s="14"/>
      <x:c r="B23" s="14"/>
      <x:c r="C23" s="14"/>
    </x:row>
    <x:row r="24">
      <x:c r="A24" s="14"/>
      <x:c r="B24" s="14"/>
      <x:c r="C24" s="14"/>
    </x:row>
    <x:row r="25">
      <x:c r="A25" s="14"/>
      <x:c r="B25" s="14"/>
      <x:c r="C25" s="14"/>
    </x:row>
    <x:row r="26">
      <x:c r="A26" s="14"/>
      <x:c r="B26" s="14"/>
      <x:c r="C26" s="14"/>
    </x:row>
    <x:row r="27">
      <x:c r="A27" s="14"/>
      <x:c r="B27" s="14"/>
      <x:c r="C27" s="14"/>
    </x:row>
    <x:row r="28">
      <x:c r="A28" s="14"/>
      <x:c r="B28" s="14"/>
      <x:c r="C28" s="14"/>
    </x:row>
    <x:row r="29">
      <x:c r="A29" s="14"/>
      <x:c r="B29" s="14"/>
      <x:c r="C29" s="14"/>
    </x:row>
    <x:row r="30">
      <x:c r="A30" s="14"/>
      <x:c r="B30" s="14"/>
      <x:c r="C30" s="14"/>
    </x:row>
    <x:row r="31">
      <x:c r="A31" s="14"/>
      <x:c r="B31" s="14"/>
      <x:c r="C31" s="14"/>
    </x:row>
    <x:row r="32">
      <x:c r="A32" s="14"/>
      <x:c r="B32" s="14"/>
      <x:c r="C32" s="14"/>
    </x:row>
    <x:row r="33">
      <x:c r="A33" s="14"/>
      <x:c r="B33" s="14"/>
      <x:c r="C33" s="14"/>
    </x:row>
    <x:row r="34">
      <x:c r="A34" s="14"/>
      <x:c r="B34" s="14"/>
      <x:c r="C34" s="14"/>
    </x:row>
    <x:row r="35">
      <x:c r="A35" s="14"/>
      <x:c r="B35" s="14"/>
      <x:c r="C35" s="14"/>
    </x:row>
    <x:row r="36">
      <x:c r="A36" s="14"/>
      <x:c r="B36" s="14"/>
      <x:c r="C36" s="14"/>
    </x:row>
    <x:row r="37">
      <x:c r="A37" s="14"/>
      <x:c r="B37" s="14"/>
      <x:c r="C37" s="14"/>
    </x:row>
    <x:row r="38">
      <x:c r="A38" s="14"/>
      <x:c r="B38" s="14"/>
      <x:c r="C38" s="14"/>
    </x:row>
    <x:row r="39">
      <x:c r="A39" s="14"/>
      <x:c r="B39" s="14"/>
      <x:c r="C39" s="14"/>
    </x:row>
    <x:row r="40">
      <x:c r="A40" s="14"/>
      <x:c r="B40" s="14"/>
      <x:c r="C40" s="14"/>
    </x:row>
    <x:row r="41">
      <x:c r="A41" s="14"/>
      <x:c r="B41" s="14"/>
      <x:c r="C41" s="14"/>
    </x:row>
    <x:row r="42">
      <x:c r="A42" s="14"/>
      <x:c r="B42" s="14"/>
      <x:c r="C42" s="14"/>
    </x:row>
    <x:row r="43">
      <x:c r="A43" s="14"/>
      <x:c r="B43" s="14"/>
      <x:c r="C43" s="14"/>
    </x:row>
    <x:row r="44">
      <x:c r="A44" s="14"/>
      <x:c r="B44" s="14"/>
      <x:c r="C44" s="14"/>
    </x:row>
    <x:row r="45">
      <x:c r="A45" s="14"/>
      <x:c r="B45" s="14"/>
      <x:c r="C45" s="14"/>
    </x:row>
    <x:row r="46">
      <x:c r="A46" s="14"/>
      <x:c r="B46" s="14"/>
      <x:c r="C46" s="14"/>
    </x:row>
    <x:row r="47">
      <x:c r="A47" s="14"/>
      <x:c r="B47" s="14"/>
      <x:c r="C47" s="14"/>
    </x:row>
    <x:row r="48">
      <x:c r="A48" s="14"/>
      <x:c r="B48" s="14"/>
      <x:c r="C48" s="14"/>
    </x:row>
    <x:row r="49">
      <x:c r="A49" s="14"/>
      <x:c r="B49" s="14"/>
      <x:c r="C49" s="14"/>
    </x:row>
    <x:row r="50">
      <x:c r="A50" s="14"/>
      <x:c r="B50" s="14"/>
      <x:c r="C50" s="14"/>
    </x:row>
  </x:sheetData>
  <x:pageMargins left="0.7" right="0.7" top="0.75" bottom="0.75" header="0.3" footer="0.3"/>
  <x:tableParts count="1">
    <x:tablePart xmlns:r="http://schemas.openxmlformats.org/officeDocument/2006/relationships" r:id="R717a13cdeea34cdd"/>
  </x:tableParts>
</x:worksheet>
</file>